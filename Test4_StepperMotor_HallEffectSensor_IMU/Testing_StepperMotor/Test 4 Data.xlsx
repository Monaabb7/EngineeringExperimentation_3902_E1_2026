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2b65e7ff0655ec/"/>
    </mc:Choice>
  </mc:AlternateContent>
  <xr:revisionPtr revIDLastSave="175" documentId="8_{AD3D18F4-A150-4150-961E-4D9419244CFE}" xr6:coauthVersionLast="47" xr6:coauthVersionMax="47" xr10:uidLastSave="{B989FB15-DD1A-4FF3-946D-079F76F39326}"/>
  <bookViews>
    <workbookView xWindow="-108" yWindow="-108" windowWidth="23256" windowHeight="13896" xr2:uid="{50F03B64-280D-4336-AB9D-0A1116BCDA3F}"/>
  </bookViews>
  <sheets>
    <sheet name="Arduino Raw Data Test 4" sheetId="2" r:id="rId1"/>
    <sheet name="Data Analysis" sheetId="3" r:id="rId2"/>
    <sheet name="PMK Data" sheetId="4" r:id="rId3"/>
  </sheets>
  <definedNames>
    <definedName name="Arduino_Raw_Data_Test_4" localSheetId="0">'Arduino Raw Data Test 4'!$A$1:$I$490</definedName>
    <definedName name="ExternalData_1" localSheetId="0" hidden="1">'Arduino Raw Data Test 4'!#REF!</definedName>
    <definedName name="ExternalData_1" localSheetId="2" hidden="1">'PMK Data'!$A$1:$D$362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" i="3" l="1"/>
  <c r="M7" i="3"/>
  <c r="J6" i="3"/>
  <c r="J4" i="3"/>
  <c r="N4" i="3"/>
  <c r="N2" i="3" a="1"/>
  <c r="N2" i="3" s="1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3" i="3"/>
  <c r="I4" i="3"/>
  <c r="I5" i="3"/>
  <c r="I6" i="3"/>
  <c r="I7" i="3"/>
  <c r="I8" i="3"/>
  <c r="I9" i="3"/>
  <c r="I10" i="3"/>
  <c r="I11" i="3"/>
  <c r="I12" i="3"/>
  <c r="I13" i="3"/>
  <c r="I14" i="3"/>
  <c r="I2" i="3"/>
  <c r="F2" i="3"/>
  <c r="E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H129" i="3" s="1"/>
  <c r="E130" i="3"/>
  <c r="F130" i="3"/>
  <c r="H130" i="3" s="1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H138" i="3" s="1"/>
  <c r="E139" i="3"/>
  <c r="F139" i="3"/>
  <c r="H139" i="3" s="1"/>
  <c r="E140" i="3"/>
  <c r="F140" i="3"/>
  <c r="E141" i="3"/>
  <c r="F141" i="3"/>
  <c r="H141" i="3" s="1"/>
  <c r="E142" i="3"/>
  <c r="F142" i="3"/>
  <c r="H142" i="3" s="1"/>
  <c r="E143" i="3"/>
  <c r="F143" i="3"/>
  <c r="E144" i="3"/>
  <c r="F144" i="3"/>
  <c r="E145" i="3"/>
  <c r="F145" i="3"/>
  <c r="E146" i="3"/>
  <c r="F146" i="3"/>
  <c r="E147" i="3"/>
  <c r="F147" i="3"/>
  <c r="E148" i="3"/>
  <c r="F148" i="3"/>
  <c r="H148" i="3" s="1"/>
  <c r="E149" i="3"/>
  <c r="F149" i="3"/>
  <c r="E150" i="3"/>
  <c r="F150" i="3"/>
  <c r="H150" i="3" s="1"/>
  <c r="E151" i="3"/>
  <c r="F151" i="3"/>
  <c r="H151" i="3" s="1"/>
  <c r="E152" i="3"/>
  <c r="F152" i="3"/>
  <c r="H152" i="3" s="1"/>
  <c r="E153" i="3"/>
  <c r="F153" i="3"/>
  <c r="E154" i="3"/>
  <c r="F154" i="3"/>
  <c r="E155" i="3"/>
  <c r="F155" i="3"/>
  <c r="E156" i="3"/>
  <c r="F156" i="3"/>
  <c r="E157" i="3"/>
  <c r="F157" i="3"/>
  <c r="E158" i="3"/>
  <c r="F158" i="3"/>
  <c r="H158" i="3" s="1"/>
  <c r="E159" i="3"/>
  <c r="F159" i="3"/>
  <c r="E160" i="3"/>
  <c r="F160" i="3"/>
  <c r="H160" i="3" s="1"/>
  <c r="E161" i="3"/>
  <c r="F161" i="3"/>
  <c r="H161" i="3" s="1"/>
  <c r="E162" i="3"/>
  <c r="F162" i="3"/>
  <c r="E163" i="3"/>
  <c r="F163" i="3"/>
  <c r="E164" i="3"/>
  <c r="F164" i="3"/>
  <c r="E165" i="3"/>
  <c r="F165" i="3"/>
  <c r="E166" i="3"/>
  <c r="F166" i="3"/>
  <c r="E167" i="3"/>
  <c r="F167" i="3"/>
  <c r="H167" i="3" s="1"/>
  <c r="E168" i="3"/>
  <c r="F168" i="3"/>
  <c r="H168" i="3" s="1"/>
  <c r="E169" i="3"/>
  <c r="F169" i="3"/>
  <c r="E170" i="3"/>
  <c r="F170" i="3"/>
  <c r="H170" i="3" s="1"/>
  <c r="E171" i="3"/>
  <c r="F171" i="3"/>
  <c r="H171" i="3" s="1"/>
  <c r="E172" i="3"/>
  <c r="F172" i="3"/>
  <c r="E173" i="3"/>
  <c r="F173" i="3"/>
  <c r="E174" i="3"/>
  <c r="F174" i="3"/>
  <c r="E175" i="3"/>
  <c r="F175" i="3"/>
  <c r="E176" i="3"/>
  <c r="F176" i="3"/>
  <c r="E177" i="3"/>
  <c r="F177" i="3"/>
  <c r="H177" i="3" s="1"/>
  <c r="E178" i="3"/>
  <c r="F178" i="3"/>
  <c r="H178" i="3" s="1"/>
  <c r="E179" i="3"/>
  <c r="F179" i="3"/>
  <c r="H179" i="3" s="1"/>
  <c r="E180" i="3"/>
  <c r="F180" i="3"/>
  <c r="H180" i="3" s="1"/>
  <c r="E181" i="3"/>
  <c r="F181" i="3"/>
  <c r="H181" i="3" s="1"/>
  <c r="E182" i="3"/>
  <c r="F182" i="3"/>
  <c r="E183" i="3"/>
  <c r="F183" i="3"/>
  <c r="H183" i="3" s="1"/>
  <c r="E184" i="3"/>
  <c r="F184" i="3"/>
  <c r="H184" i="3" s="1"/>
  <c r="E185" i="3"/>
  <c r="F185" i="3"/>
  <c r="E186" i="3"/>
  <c r="F186" i="3"/>
  <c r="E187" i="3"/>
  <c r="F187" i="3"/>
  <c r="H187" i="3" s="1"/>
  <c r="E188" i="3"/>
  <c r="F188" i="3"/>
  <c r="E189" i="3"/>
  <c r="F189" i="3"/>
  <c r="H189" i="3" s="1"/>
  <c r="E190" i="3"/>
  <c r="F190" i="3"/>
  <c r="H190" i="3" s="1"/>
  <c r="E191" i="3"/>
  <c r="F191" i="3"/>
  <c r="H191" i="3" s="1"/>
  <c r="E192" i="3"/>
  <c r="G192" i="3" s="1"/>
  <c r="F192" i="3"/>
  <c r="E193" i="3"/>
  <c r="F193" i="3"/>
  <c r="E194" i="3"/>
  <c r="F194" i="3"/>
  <c r="E195" i="3"/>
  <c r="G195" i="3" s="1"/>
  <c r="F195" i="3"/>
  <c r="E196" i="3"/>
  <c r="F196" i="3"/>
  <c r="E197" i="3"/>
  <c r="G197" i="3" s="1"/>
  <c r="F197" i="3"/>
  <c r="E198" i="3"/>
  <c r="G198" i="3" s="1"/>
  <c r="F198" i="3"/>
  <c r="E199" i="3"/>
  <c r="G199" i="3" s="1"/>
  <c r="F199" i="3"/>
  <c r="E200" i="3"/>
  <c r="G200" i="3" s="1"/>
  <c r="F200" i="3"/>
  <c r="E201" i="3"/>
  <c r="G201" i="3" s="1"/>
  <c r="C202" i="3"/>
  <c r="C203" i="3"/>
  <c r="C204" i="3"/>
  <c r="H113" i="3" s="1"/>
  <c r="C205" i="3"/>
  <c r="C206" i="3"/>
  <c r="G115" i="3" s="1"/>
  <c r="C207" i="3"/>
  <c r="C208" i="3"/>
  <c r="C209" i="3"/>
  <c r="C210" i="3"/>
  <c r="C211" i="3"/>
  <c r="H117" i="3" s="1"/>
  <c r="C212" i="3"/>
  <c r="C3" i="3"/>
  <c r="C4" i="3"/>
  <c r="C5" i="3"/>
  <c r="C6" i="3"/>
  <c r="C7" i="3"/>
  <c r="C8" i="3"/>
  <c r="C9" i="3"/>
  <c r="G5" i="3" s="1"/>
  <c r="C10" i="3"/>
  <c r="C11" i="3"/>
  <c r="C12" i="3"/>
  <c r="C13" i="3"/>
  <c r="C14" i="3"/>
  <c r="G8" i="3" s="1"/>
  <c r="C15" i="3"/>
  <c r="C16" i="3"/>
  <c r="C17" i="3"/>
  <c r="C18" i="3"/>
  <c r="C19" i="3"/>
  <c r="G11" i="3" s="1"/>
  <c r="C20" i="3"/>
  <c r="C21" i="3"/>
  <c r="C22" i="3"/>
  <c r="C23" i="3"/>
  <c r="C24" i="3"/>
  <c r="C25" i="3"/>
  <c r="G14" i="3" s="1"/>
  <c r="C26" i="3"/>
  <c r="C27" i="3"/>
  <c r="C28" i="3"/>
  <c r="H15" i="3" s="1"/>
  <c r="C29" i="3"/>
  <c r="C30" i="3"/>
  <c r="C31" i="3"/>
  <c r="C32" i="3"/>
  <c r="C33" i="3"/>
  <c r="H18" i="3" s="1"/>
  <c r="C34" i="3"/>
  <c r="C35" i="3"/>
  <c r="C36" i="3"/>
  <c r="C37" i="3"/>
  <c r="C38" i="3"/>
  <c r="C39" i="3"/>
  <c r="G22" i="3" s="1"/>
  <c r="C40" i="3"/>
  <c r="C41" i="3"/>
  <c r="C42" i="3"/>
  <c r="C43" i="3"/>
  <c r="C44" i="3"/>
  <c r="H24" i="3" s="1"/>
  <c r="C45" i="3"/>
  <c r="G25" i="3" s="1"/>
  <c r="C46" i="3"/>
  <c r="C47" i="3"/>
  <c r="C48" i="3"/>
  <c r="C49" i="3"/>
  <c r="H27" i="3" s="1"/>
  <c r="C50" i="3"/>
  <c r="C51" i="3"/>
  <c r="H28" i="3" s="1"/>
  <c r="C52" i="3"/>
  <c r="G29" i="3" s="1"/>
  <c r="C53" i="3"/>
  <c r="C54" i="3"/>
  <c r="C55" i="3"/>
  <c r="C56" i="3"/>
  <c r="C57" i="3"/>
  <c r="C58" i="3"/>
  <c r="C59" i="3"/>
  <c r="C60" i="3"/>
  <c r="C61" i="3"/>
  <c r="G34" i="3" s="1"/>
  <c r="C62" i="3"/>
  <c r="C63" i="3"/>
  <c r="G35" i="3" s="1"/>
  <c r="C64" i="3"/>
  <c r="C65" i="3"/>
  <c r="C66" i="3"/>
  <c r="G37" i="3" s="1"/>
  <c r="C67" i="3"/>
  <c r="H37" i="3" s="1"/>
  <c r="C68" i="3"/>
  <c r="G38" i="3" s="1"/>
  <c r="C69" i="3"/>
  <c r="C70" i="3"/>
  <c r="C71" i="3"/>
  <c r="C72" i="3"/>
  <c r="C73" i="3"/>
  <c r="C74" i="3"/>
  <c r="H41" i="3" s="1"/>
  <c r="C75" i="3"/>
  <c r="C76" i="3"/>
  <c r="C77" i="3"/>
  <c r="G43" i="3" s="1"/>
  <c r="C78" i="3"/>
  <c r="C79" i="3"/>
  <c r="C80" i="3"/>
  <c r="C81" i="3"/>
  <c r="H45" i="3" s="1"/>
  <c r="C82" i="3"/>
  <c r="C83" i="3"/>
  <c r="C84" i="3"/>
  <c r="G47" i="3" s="1"/>
  <c r="C85" i="3"/>
  <c r="C86" i="3"/>
  <c r="C87" i="3"/>
  <c r="C88" i="3"/>
  <c r="C89" i="3"/>
  <c r="G50" i="3" s="1"/>
  <c r="C90" i="3"/>
  <c r="H50" i="3" s="1"/>
  <c r="C91" i="3"/>
  <c r="C92" i="3"/>
  <c r="H51" i="3" s="1"/>
  <c r="C93" i="3"/>
  <c r="G52" i="3" s="1"/>
  <c r="C94" i="3"/>
  <c r="C95" i="3"/>
  <c r="G53" i="3" s="1"/>
  <c r="C96" i="3"/>
  <c r="C97" i="3"/>
  <c r="C98" i="3"/>
  <c r="H54" i="3" s="1"/>
  <c r="C99" i="3"/>
  <c r="C100" i="3"/>
  <c r="G56" i="3" s="1"/>
  <c r="C101" i="3"/>
  <c r="C102" i="3"/>
  <c r="C103" i="3"/>
  <c r="C104" i="3"/>
  <c r="G58" i="3" s="1"/>
  <c r="C105" i="3"/>
  <c r="C106" i="3"/>
  <c r="C107" i="3"/>
  <c r="C108" i="3"/>
  <c r="H60" i="3" s="1"/>
  <c r="C109" i="3"/>
  <c r="G61" i="3" s="1"/>
  <c r="C110" i="3"/>
  <c r="C111" i="3"/>
  <c r="C112" i="3"/>
  <c r="C113" i="3"/>
  <c r="C114" i="3"/>
  <c r="C115" i="3"/>
  <c r="C116" i="3"/>
  <c r="H64" i="3" s="1"/>
  <c r="C117" i="3"/>
  <c r="C118" i="3"/>
  <c r="C119" i="3"/>
  <c r="C120" i="3"/>
  <c r="C121" i="3"/>
  <c r="C122" i="3"/>
  <c r="G68" i="3" s="1"/>
  <c r="C123" i="3"/>
  <c r="C124" i="3"/>
  <c r="C125" i="3"/>
  <c r="G70" i="3" s="1"/>
  <c r="C126" i="3"/>
  <c r="C127" i="3"/>
  <c r="G71" i="3" s="1"/>
  <c r="C128" i="3"/>
  <c r="C129" i="3"/>
  <c r="C130" i="3"/>
  <c r="C131" i="3"/>
  <c r="G73" i="3" s="1"/>
  <c r="C132" i="3"/>
  <c r="C133" i="3"/>
  <c r="G74" i="3" s="1"/>
  <c r="C134" i="3"/>
  <c r="C135" i="3"/>
  <c r="C136" i="3"/>
  <c r="G76" i="3" s="1"/>
  <c r="C137" i="3"/>
  <c r="C138" i="3"/>
  <c r="C139" i="3"/>
  <c r="H77" i="3" s="1"/>
  <c r="C140" i="3"/>
  <c r="C141" i="3"/>
  <c r="C142" i="3"/>
  <c r="G79" i="3" s="1"/>
  <c r="C143" i="3"/>
  <c r="C144" i="3"/>
  <c r="C145" i="3"/>
  <c r="C146" i="3"/>
  <c r="H81" i="3" s="1"/>
  <c r="C147" i="3"/>
  <c r="C148" i="3"/>
  <c r="C149" i="3"/>
  <c r="G83" i="3" s="1"/>
  <c r="C150" i="3"/>
  <c r="C151" i="3"/>
  <c r="C152" i="3"/>
  <c r="C153" i="3"/>
  <c r="C154" i="3"/>
  <c r="G86" i="3" s="1"/>
  <c r="C155" i="3"/>
  <c r="C156" i="3"/>
  <c r="C157" i="3"/>
  <c r="H87" i="3" s="1"/>
  <c r="C158" i="3"/>
  <c r="G88" i="3" s="1"/>
  <c r="C159" i="3"/>
  <c r="G89" i="3" s="1"/>
  <c r="C160" i="3"/>
  <c r="C161" i="3"/>
  <c r="C162" i="3"/>
  <c r="H90" i="3" s="1"/>
  <c r="C163" i="3"/>
  <c r="G91" i="3" s="1"/>
  <c r="C164" i="3"/>
  <c r="C165" i="3"/>
  <c r="G92" i="3" s="1"/>
  <c r="C166" i="3"/>
  <c r="C167" i="3"/>
  <c r="C168" i="3"/>
  <c r="G94" i="3" s="1"/>
  <c r="C169" i="3"/>
  <c r="C170" i="3"/>
  <c r="C171" i="3"/>
  <c r="C172" i="3"/>
  <c r="C173" i="3"/>
  <c r="H96" i="3" s="1"/>
  <c r="C174" i="3"/>
  <c r="G97" i="3" s="1"/>
  <c r="C175" i="3"/>
  <c r="C176" i="3"/>
  <c r="C177" i="3"/>
  <c r="C178" i="3"/>
  <c r="C179" i="3"/>
  <c r="C180" i="3"/>
  <c r="H100" i="3" s="1"/>
  <c r="C181" i="3"/>
  <c r="G101" i="3" s="1"/>
  <c r="C182" i="3"/>
  <c r="C183" i="3"/>
  <c r="C184" i="3"/>
  <c r="C185" i="3"/>
  <c r="C186" i="3"/>
  <c r="G104" i="3" s="1"/>
  <c r="C187" i="3"/>
  <c r="C188" i="3"/>
  <c r="C189" i="3"/>
  <c r="C190" i="3"/>
  <c r="G106" i="3" s="1"/>
  <c r="C191" i="3"/>
  <c r="C192" i="3"/>
  <c r="G107" i="3" s="1"/>
  <c r="C193" i="3"/>
  <c r="C194" i="3"/>
  <c r="C195" i="3"/>
  <c r="G109" i="3" s="1"/>
  <c r="C196" i="3"/>
  <c r="C197" i="3"/>
  <c r="G110" i="3" s="1"/>
  <c r="C198" i="3"/>
  <c r="C199" i="3"/>
  <c r="C200" i="3"/>
  <c r="C201" i="3"/>
  <c r="G112" i="3" s="1"/>
  <c r="C213" i="3"/>
  <c r="G119" i="3" s="1"/>
  <c r="C214" i="3"/>
  <c r="C215" i="3"/>
  <c r="C216" i="3"/>
  <c r="C217" i="3"/>
  <c r="C218" i="3"/>
  <c r="C219" i="3"/>
  <c r="C220" i="3"/>
  <c r="C221" i="3"/>
  <c r="H123" i="3" s="1"/>
  <c r="C222" i="3"/>
  <c r="G124" i="3" s="1"/>
  <c r="C223" i="3"/>
  <c r="C224" i="3"/>
  <c r="G125" i="3" s="1"/>
  <c r="C225" i="3"/>
  <c r="C226" i="3"/>
  <c r="C227" i="3"/>
  <c r="H126" i="3" s="1"/>
  <c r="C228" i="3"/>
  <c r="G127" i="3" s="1"/>
  <c r="C229" i="3"/>
  <c r="G128" i="3" s="1"/>
  <c r="C230" i="3"/>
  <c r="C231" i="3"/>
  <c r="C232" i="3"/>
  <c r="C233" i="3"/>
  <c r="G130" i="3" s="1"/>
  <c r="C234" i="3"/>
  <c r="C235" i="3"/>
  <c r="C236" i="3"/>
  <c r="C237" i="3"/>
  <c r="C238" i="3"/>
  <c r="H132" i="3" s="1"/>
  <c r="C239" i="3"/>
  <c r="H133" i="3" s="1"/>
  <c r="C240" i="3"/>
  <c r="C241" i="3"/>
  <c r="C242" i="3"/>
  <c r="C243" i="3"/>
  <c r="C244" i="3"/>
  <c r="C245" i="3"/>
  <c r="H136" i="3" s="1"/>
  <c r="C246" i="3"/>
  <c r="G137" i="3" s="1"/>
  <c r="C247" i="3"/>
  <c r="C248" i="3"/>
  <c r="C249" i="3"/>
  <c r="C250" i="3"/>
  <c r="C251" i="3"/>
  <c r="G140" i="3" s="1"/>
  <c r="C252" i="3"/>
  <c r="C253" i="3"/>
  <c r="C254" i="3"/>
  <c r="C255" i="3"/>
  <c r="G142" i="3" s="1"/>
  <c r="C256" i="3"/>
  <c r="G143" i="3" s="1"/>
  <c r="C257" i="3"/>
  <c r="C258" i="3"/>
  <c r="C259" i="3"/>
  <c r="C260" i="3"/>
  <c r="C261" i="3"/>
  <c r="C262" i="3"/>
  <c r="G146" i="3" s="1"/>
  <c r="C263" i="3"/>
  <c r="H146" i="3" s="1"/>
  <c r="C264" i="3"/>
  <c r="C265" i="3"/>
  <c r="G148" i="3" s="1"/>
  <c r="C266" i="3"/>
  <c r="C267" i="3"/>
  <c r="C268" i="3"/>
  <c r="C269" i="3"/>
  <c r="C270" i="3"/>
  <c r="C271" i="3"/>
  <c r="G151" i="3" s="1"/>
  <c r="C272" i="3"/>
  <c r="C273" i="3"/>
  <c r="C274" i="3"/>
  <c r="C275" i="3"/>
  <c r="H153" i="3" s="1"/>
  <c r="C276" i="3"/>
  <c r="C277" i="3"/>
  <c r="C278" i="3"/>
  <c r="G155" i="3" s="1"/>
  <c r="C279" i="3"/>
  <c r="C280" i="3"/>
  <c r="C281" i="3"/>
  <c r="C282" i="3"/>
  <c r="C283" i="3"/>
  <c r="C284" i="3"/>
  <c r="C285" i="3"/>
  <c r="C286" i="3"/>
  <c r="C287" i="3"/>
  <c r="G160" i="3" s="1"/>
  <c r="C288" i="3"/>
  <c r="C289" i="3"/>
  <c r="G161" i="3" s="1"/>
  <c r="C290" i="3"/>
  <c r="C291" i="3"/>
  <c r="H162" i="3" s="1"/>
  <c r="C292" i="3"/>
  <c r="G163" i="3" s="1"/>
  <c r="C293" i="3"/>
  <c r="C294" i="3"/>
  <c r="G164" i="3" s="1"/>
  <c r="C295" i="3"/>
  <c r="C296" i="3"/>
  <c r="C297" i="3"/>
  <c r="C298" i="3"/>
  <c r="G166" i="3" s="1"/>
  <c r="C299" i="3"/>
  <c r="C300" i="3"/>
  <c r="C301" i="3"/>
  <c r="C302" i="3"/>
  <c r="C303" i="3"/>
  <c r="G169" i="3" s="1"/>
  <c r="C304" i="3"/>
  <c r="C305" i="3"/>
  <c r="C306" i="3"/>
  <c r="C307" i="3"/>
  <c r="C308" i="3"/>
  <c r="C309" i="3"/>
  <c r="H172" i="3" s="1"/>
  <c r="C310" i="3"/>
  <c r="G173" i="3" s="1"/>
  <c r="C311" i="3"/>
  <c r="C312" i="3"/>
  <c r="C313" i="3"/>
  <c r="C314" i="3"/>
  <c r="C315" i="3"/>
  <c r="C316" i="3"/>
  <c r="G176" i="3" s="1"/>
  <c r="C317" i="3"/>
  <c r="C318" i="3"/>
  <c r="C319" i="3"/>
  <c r="G178" i="3" s="1"/>
  <c r="C320" i="3"/>
  <c r="C321" i="3"/>
  <c r="G179" i="3" s="1"/>
  <c r="C322" i="3"/>
  <c r="C323" i="3"/>
  <c r="C324" i="3"/>
  <c r="C325" i="3"/>
  <c r="C326" i="3"/>
  <c r="G182" i="3" s="1"/>
  <c r="C327" i="3"/>
  <c r="H182" i="3" s="1"/>
  <c r="C328" i="3"/>
  <c r="C329" i="3"/>
  <c r="C330" i="3"/>
  <c r="G184" i="3" s="1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2" i="3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40" i="2"/>
  <c r="B41" i="2"/>
  <c r="B42" i="2"/>
  <c r="B43" i="2"/>
  <c r="B44" i="2"/>
  <c r="B45" i="2"/>
  <c r="B46" i="2"/>
  <c r="B47" i="2"/>
  <c r="B48" i="2"/>
  <c r="B49" i="2"/>
  <c r="B50" i="2"/>
  <c r="B51" i="2"/>
  <c r="B39" i="2"/>
  <c r="C39" i="2" s="1"/>
  <c r="C40" i="2" s="1"/>
  <c r="H147" i="3" l="1"/>
  <c r="H135" i="3"/>
  <c r="H111" i="3"/>
  <c r="H105" i="3"/>
  <c r="H99" i="3"/>
  <c r="H93" i="3"/>
  <c r="H75" i="3"/>
  <c r="H69" i="3"/>
  <c r="H63" i="3"/>
  <c r="H57" i="3"/>
  <c r="H39" i="3"/>
  <c r="H33" i="3"/>
  <c r="H21" i="3"/>
  <c r="H9" i="3"/>
  <c r="H3" i="3"/>
  <c r="H165" i="3"/>
  <c r="G194" i="3"/>
  <c r="H200" i="3"/>
  <c r="H194" i="3"/>
  <c r="H134" i="3"/>
  <c r="H128" i="3"/>
  <c r="H122" i="3"/>
  <c r="H116" i="3"/>
  <c r="H110" i="3"/>
  <c r="H104" i="3"/>
  <c r="H98" i="3"/>
  <c r="H92" i="3"/>
  <c r="H86" i="3"/>
  <c r="H80" i="3"/>
  <c r="H74" i="3"/>
  <c r="H68" i="3"/>
  <c r="H62" i="3"/>
  <c r="H56" i="3"/>
  <c r="H44" i="3"/>
  <c r="H38" i="3"/>
  <c r="H32" i="3"/>
  <c r="H26" i="3"/>
  <c r="H20" i="3"/>
  <c r="H14" i="3"/>
  <c r="H8" i="3"/>
  <c r="H176" i="3"/>
  <c r="H164" i="3"/>
  <c r="H140" i="3"/>
  <c r="H159" i="3"/>
  <c r="H199" i="3"/>
  <c r="G188" i="3"/>
  <c r="G170" i="3"/>
  <c r="G158" i="3"/>
  <c r="G152" i="3"/>
  <c r="G134" i="3"/>
  <c r="G122" i="3"/>
  <c r="G116" i="3"/>
  <c r="G98" i="3"/>
  <c r="G80" i="3"/>
  <c r="G62" i="3"/>
  <c r="G44" i="3"/>
  <c r="G32" i="3"/>
  <c r="G26" i="3"/>
  <c r="G20" i="3"/>
  <c r="H157" i="3"/>
  <c r="H145" i="3"/>
  <c r="H127" i="3"/>
  <c r="H121" i="3"/>
  <c r="H115" i="3"/>
  <c r="H109" i="3"/>
  <c r="H103" i="3"/>
  <c r="H97" i="3"/>
  <c r="H91" i="3"/>
  <c r="H85" i="3"/>
  <c r="H79" i="3"/>
  <c r="H73" i="3"/>
  <c r="H67" i="3"/>
  <c r="H61" i="3"/>
  <c r="H55" i="3"/>
  <c r="H49" i="3"/>
  <c r="H43" i="3"/>
  <c r="H31" i="3"/>
  <c r="H25" i="3"/>
  <c r="H19" i="3"/>
  <c r="H13" i="3"/>
  <c r="H7" i="3"/>
  <c r="H175" i="3"/>
  <c r="H163" i="3"/>
  <c r="G187" i="3"/>
  <c r="G181" i="3"/>
  <c r="G175" i="3"/>
  <c r="G157" i="3"/>
  <c r="G145" i="3"/>
  <c r="G139" i="3"/>
  <c r="G121" i="3"/>
  <c r="G103" i="3"/>
  <c r="G85" i="3"/>
  <c r="G67" i="3"/>
  <c r="G49" i="3"/>
  <c r="G31" i="3"/>
  <c r="G19" i="3"/>
  <c r="G13" i="3"/>
  <c r="G7" i="3"/>
  <c r="H120" i="3"/>
  <c r="H114" i="3"/>
  <c r="H108" i="3"/>
  <c r="H102" i="3"/>
  <c r="H84" i="3"/>
  <c r="H78" i="3"/>
  <c r="H72" i="3"/>
  <c r="H66" i="3"/>
  <c r="H48" i="3"/>
  <c r="H42" i="3"/>
  <c r="H36" i="3"/>
  <c r="H30" i="3"/>
  <c r="H12" i="3"/>
  <c r="H6" i="3"/>
  <c r="H174" i="3"/>
  <c r="H156" i="3"/>
  <c r="H144" i="3"/>
  <c r="H197" i="3"/>
  <c r="H155" i="3"/>
  <c r="H143" i="3"/>
  <c r="H137" i="3"/>
  <c r="H131" i="3"/>
  <c r="H125" i="3"/>
  <c r="H119" i="3"/>
  <c r="H107" i="3"/>
  <c r="H101" i="3"/>
  <c r="H95" i="3"/>
  <c r="H89" i="3"/>
  <c r="H83" i="3"/>
  <c r="H71" i="3"/>
  <c r="H65" i="3"/>
  <c r="H59" i="3"/>
  <c r="H53" i="3"/>
  <c r="H47" i="3"/>
  <c r="H35" i="3"/>
  <c r="H29" i="3"/>
  <c r="H23" i="3"/>
  <c r="H17" i="3"/>
  <c r="H11" i="3"/>
  <c r="H5" i="3"/>
  <c r="H173" i="3"/>
  <c r="H169" i="3"/>
  <c r="H149" i="3"/>
  <c r="H196" i="3"/>
  <c r="G191" i="3"/>
  <c r="G185" i="3"/>
  <c r="G167" i="3"/>
  <c r="G149" i="3"/>
  <c r="G131" i="3"/>
  <c r="G113" i="3"/>
  <c r="G95" i="3"/>
  <c r="G77" i="3"/>
  <c r="G59" i="3"/>
  <c r="G41" i="3"/>
  <c r="G23" i="3"/>
  <c r="G17" i="3"/>
  <c r="H166" i="3"/>
  <c r="H154" i="3"/>
  <c r="H124" i="3"/>
  <c r="H118" i="3"/>
  <c r="H112" i="3"/>
  <c r="H106" i="3"/>
  <c r="H94" i="3"/>
  <c r="H88" i="3"/>
  <c r="H82" i="3"/>
  <c r="H76" i="3"/>
  <c r="H70" i="3"/>
  <c r="H58" i="3"/>
  <c r="H52" i="3"/>
  <c r="H46" i="3"/>
  <c r="H40" i="3"/>
  <c r="H34" i="3"/>
  <c r="H22" i="3"/>
  <c r="H16" i="3"/>
  <c r="H10" i="3"/>
  <c r="H4" i="3"/>
  <c r="G2" i="3"/>
  <c r="G190" i="3"/>
  <c r="G172" i="3"/>
  <c r="G154" i="3"/>
  <c r="G136" i="3"/>
  <c r="G118" i="3"/>
  <c r="G100" i="3"/>
  <c r="G82" i="3"/>
  <c r="G64" i="3"/>
  <c r="G46" i="3"/>
  <c r="G40" i="3"/>
  <c r="G28" i="3"/>
  <c r="G10" i="3"/>
  <c r="G4" i="3"/>
  <c r="H2" i="3"/>
  <c r="G196" i="3"/>
  <c r="G174" i="3"/>
  <c r="G138" i="3"/>
  <c r="G102" i="3"/>
  <c r="G66" i="3"/>
  <c r="G30" i="3"/>
  <c r="H195" i="3"/>
  <c r="G177" i="3"/>
  <c r="G141" i="3"/>
  <c r="G105" i="3"/>
  <c r="G69" i="3"/>
  <c r="G33" i="3"/>
  <c r="G180" i="3"/>
  <c r="G144" i="3"/>
  <c r="G108" i="3"/>
  <c r="G72" i="3"/>
  <c r="G65" i="3"/>
  <c r="G36" i="3"/>
  <c r="G16" i="3"/>
  <c r="G183" i="3"/>
  <c r="G147" i="3"/>
  <c r="G111" i="3"/>
  <c r="G75" i="3"/>
  <c r="G55" i="3"/>
  <c r="G39" i="3"/>
  <c r="G3" i="3"/>
  <c r="H186" i="3"/>
  <c r="G150" i="3"/>
  <c r="G114" i="3"/>
  <c r="G78" i="3"/>
  <c r="G42" i="3"/>
  <c r="G6" i="3"/>
  <c r="G186" i="3"/>
  <c r="G153" i="3"/>
  <c r="G133" i="3"/>
  <c r="G117" i="3"/>
  <c r="G81" i="3"/>
  <c r="G45" i="3"/>
  <c r="G9" i="3"/>
  <c r="H198" i="3"/>
  <c r="G156" i="3"/>
  <c r="G120" i="3"/>
  <c r="G84" i="3"/>
  <c r="G48" i="3"/>
  <c r="G12" i="3"/>
  <c r="H193" i="3"/>
  <c r="H185" i="3"/>
  <c r="G159" i="3"/>
  <c r="G123" i="3"/>
  <c r="G87" i="3"/>
  <c r="G51" i="3"/>
  <c r="G15" i="3"/>
  <c r="G193" i="3"/>
  <c r="G189" i="3"/>
  <c r="G162" i="3"/>
  <c r="G126" i="3"/>
  <c r="G90" i="3"/>
  <c r="G54" i="3"/>
  <c r="G18" i="3"/>
  <c r="H192" i="3"/>
  <c r="G165" i="3"/>
  <c r="G129" i="3"/>
  <c r="G93" i="3"/>
  <c r="G57" i="3"/>
  <c r="G21" i="3"/>
  <c r="H188" i="3"/>
  <c r="G168" i="3"/>
  <c r="G132" i="3"/>
  <c r="G96" i="3"/>
  <c r="G60" i="3"/>
  <c r="G24" i="3"/>
  <c r="G171" i="3"/>
  <c r="G135" i="3"/>
  <c r="G99" i="3"/>
  <c r="G63" i="3"/>
  <c r="G27" i="3"/>
  <c r="C41" i="2"/>
  <c r="C42" i="2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77672-6FB7-4F71-A177-0B39A610A997}" name="Arduino Raw Data Test 4" type="6" refreshedVersion="8" background="1" saveData="1">
    <textPr codePage="437" firstRow="5" sourceFile="C:\Users\monaa\Downloads\EngineeringExperimentation_3902_E1_2026\Test4_StepperMotor_HallEffectSensor_IMU\Testing_StepperMotor\Arduino Raw Data Test 4.txt" tab="0" comma="1">
      <textFields count="7">
        <textField/>
        <textField/>
        <textField/>
        <textField/>
        <textField/>
        <textField/>
        <textField/>
      </textFields>
    </textPr>
  </connection>
  <connection id="2" xr16:uid="{FBEB8D1A-C5F5-4FF4-BAFD-90868DADD4DF}" keepAlive="1" name="Query - Arduino Raw Data Test 4" description="Connection to the 'Arduino Raw Data Test 4' query in the workbook." type="5" refreshedVersion="8" background="1" saveData="1">
    <dbPr connection="Provider=Microsoft.Mashup.OleDb.1;Data Source=$Workbook$;Location=&quot;Arduino Raw Data Test 4&quot;;Extended Properties=&quot;&quot;" command="SELECT * FROM [Arduino Raw Data Test 4]"/>
  </connection>
  <connection id="3" xr16:uid="{07755080-5CF9-4158-B244-B6F7AAD576C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<sst xmlns="http://schemas.openxmlformats.org/spreadsheetml/2006/main" count="30" uniqueCount="27">
  <si>
    <t>Time(ms)</t>
  </si>
  <si>
    <t xml:space="preserve"> Step_Count</t>
  </si>
  <si>
    <t xml:space="preserve"> Approx_Degree</t>
  </si>
  <si>
    <t xml:space="preserve"> Hall_Effect</t>
  </si>
  <si>
    <t xml:space="preserve"> RotX</t>
  </si>
  <si>
    <t xml:space="preserve"> TotY</t>
  </si>
  <si>
    <t xml:space="preserve"> Rotz</t>
  </si>
  <si>
    <t>Current Time</t>
  </si>
  <si>
    <t>Link AB angVel rad/s</t>
  </si>
  <si>
    <t>Link DCE angVel rad/s</t>
  </si>
  <si>
    <t>Link CBFG angVel rad/s</t>
  </si>
  <si>
    <t>TimeStep</t>
  </si>
  <si>
    <t>Time from IMU</t>
  </si>
  <si>
    <t>Angular Velocity</t>
  </si>
  <si>
    <t>Theoretical Data</t>
  </si>
  <si>
    <t>Interpolations</t>
  </si>
  <si>
    <t>X1</t>
  </si>
  <si>
    <t>X2</t>
  </si>
  <si>
    <t>Y1</t>
  </si>
  <si>
    <t>Y2</t>
  </si>
  <si>
    <t>Sum of sq</t>
  </si>
  <si>
    <t>Count</t>
  </si>
  <si>
    <t>RMSE</t>
  </si>
  <si>
    <t>rad/s</t>
  </si>
  <si>
    <t>Adjusted Values</t>
  </si>
  <si>
    <t>Max:</t>
  </si>
  <si>
    <t>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</si>
</sst>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22748666416335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44126308721718E-2"/>
          <c:y val="2.512917632284372E-2"/>
          <c:w val="0.8699146672565049"/>
          <c:h val="0.7799803808337388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'Arduino Raw Data Test 4'!$I$39:$I$238</c:f>
              <c:numCache>
                <c:formatCode>General</c:formatCode>
                <c:ptCount val="200"/>
                <c:pt idx="0">
                  <c:v>2.0499999999999998</c:v>
                </c:pt>
                <c:pt idx="1">
                  <c:v>0.48</c:v>
                </c:pt>
                <c:pt idx="2">
                  <c:v>0.8</c:v>
                </c:pt>
                <c:pt idx="3">
                  <c:v>0.77</c:v>
                </c:pt>
                <c:pt idx="4">
                  <c:v>1.53</c:v>
                </c:pt>
                <c:pt idx="5">
                  <c:v>-0.24</c:v>
                </c:pt>
                <c:pt idx="6">
                  <c:v>0.56999999999999995</c:v>
                </c:pt>
                <c:pt idx="7">
                  <c:v>0.45</c:v>
                </c:pt>
                <c:pt idx="8">
                  <c:v>1.19</c:v>
                </c:pt>
                <c:pt idx="9">
                  <c:v>0.64</c:v>
                </c:pt>
                <c:pt idx="10">
                  <c:v>0.28999999999999998</c:v>
                </c:pt>
                <c:pt idx="11">
                  <c:v>0.08</c:v>
                </c:pt>
                <c:pt idx="12">
                  <c:v>1.26</c:v>
                </c:pt>
                <c:pt idx="13">
                  <c:v>0.17</c:v>
                </c:pt>
                <c:pt idx="14">
                  <c:v>0.74</c:v>
                </c:pt>
                <c:pt idx="15">
                  <c:v>0.08</c:v>
                </c:pt>
                <c:pt idx="16">
                  <c:v>1</c:v>
                </c:pt>
                <c:pt idx="17">
                  <c:v>0.48</c:v>
                </c:pt>
                <c:pt idx="18">
                  <c:v>1.4</c:v>
                </c:pt>
                <c:pt idx="19">
                  <c:v>0.52</c:v>
                </c:pt>
                <c:pt idx="20">
                  <c:v>0.6</c:v>
                </c:pt>
                <c:pt idx="21">
                  <c:v>0.74</c:v>
                </c:pt>
                <c:pt idx="22">
                  <c:v>0.95</c:v>
                </c:pt>
                <c:pt idx="23">
                  <c:v>0.2</c:v>
                </c:pt>
                <c:pt idx="24">
                  <c:v>0.76</c:v>
                </c:pt>
                <c:pt idx="25">
                  <c:v>0.7</c:v>
                </c:pt>
                <c:pt idx="26">
                  <c:v>1.32</c:v>
                </c:pt>
                <c:pt idx="27">
                  <c:v>0.68</c:v>
                </c:pt>
                <c:pt idx="28">
                  <c:v>0.76</c:v>
                </c:pt>
                <c:pt idx="29">
                  <c:v>0.4</c:v>
                </c:pt>
                <c:pt idx="30">
                  <c:v>0.63</c:v>
                </c:pt>
                <c:pt idx="31">
                  <c:v>0.05</c:v>
                </c:pt>
                <c:pt idx="32">
                  <c:v>0.73</c:v>
                </c:pt>
                <c:pt idx="33">
                  <c:v>0.36</c:v>
                </c:pt>
                <c:pt idx="34">
                  <c:v>0.73</c:v>
                </c:pt>
                <c:pt idx="35">
                  <c:v>0.14000000000000001</c:v>
                </c:pt>
                <c:pt idx="36">
                  <c:v>0.64</c:v>
                </c:pt>
                <c:pt idx="37">
                  <c:v>-0.24</c:v>
                </c:pt>
                <c:pt idx="38">
                  <c:v>0.8</c:v>
                </c:pt>
                <c:pt idx="39">
                  <c:v>-0.56000000000000005</c:v>
                </c:pt>
                <c:pt idx="40">
                  <c:v>0.31</c:v>
                </c:pt>
                <c:pt idx="41">
                  <c:v>-0.44</c:v>
                </c:pt>
                <c:pt idx="42">
                  <c:v>0.66</c:v>
                </c:pt>
                <c:pt idx="43">
                  <c:v>-7.0000000000000007E-2</c:v>
                </c:pt>
                <c:pt idx="44">
                  <c:v>0.56000000000000005</c:v>
                </c:pt>
                <c:pt idx="45">
                  <c:v>-0.1</c:v>
                </c:pt>
                <c:pt idx="46">
                  <c:v>0.71</c:v>
                </c:pt>
                <c:pt idx="47">
                  <c:v>-0.18</c:v>
                </c:pt>
                <c:pt idx="48">
                  <c:v>0.44</c:v>
                </c:pt>
                <c:pt idx="49">
                  <c:v>-0.32</c:v>
                </c:pt>
                <c:pt idx="50">
                  <c:v>0.38</c:v>
                </c:pt>
                <c:pt idx="51">
                  <c:v>-0.08</c:v>
                </c:pt>
                <c:pt idx="52">
                  <c:v>0.4</c:v>
                </c:pt>
                <c:pt idx="53">
                  <c:v>0.19</c:v>
                </c:pt>
                <c:pt idx="54">
                  <c:v>-0.22</c:v>
                </c:pt>
                <c:pt idx="55">
                  <c:v>-0.17</c:v>
                </c:pt>
                <c:pt idx="56">
                  <c:v>-7.0000000000000007E-2</c:v>
                </c:pt>
                <c:pt idx="57">
                  <c:v>0.18</c:v>
                </c:pt>
                <c:pt idx="58">
                  <c:v>-0.11</c:v>
                </c:pt>
                <c:pt idx="59">
                  <c:v>-0.24</c:v>
                </c:pt>
                <c:pt idx="60">
                  <c:v>-0.27</c:v>
                </c:pt>
                <c:pt idx="61">
                  <c:v>-0.26</c:v>
                </c:pt>
                <c:pt idx="62">
                  <c:v>-0.25</c:v>
                </c:pt>
                <c:pt idx="63">
                  <c:v>-0.24</c:v>
                </c:pt>
                <c:pt idx="64">
                  <c:v>-0.48</c:v>
                </c:pt>
                <c:pt idx="65">
                  <c:v>-0.22</c:v>
                </c:pt>
                <c:pt idx="66">
                  <c:v>-0.12</c:v>
                </c:pt>
                <c:pt idx="67">
                  <c:v>-0.1</c:v>
                </c:pt>
                <c:pt idx="68">
                  <c:v>-0.47</c:v>
                </c:pt>
                <c:pt idx="69">
                  <c:v>-0.22</c:v>
                </c:pt>
                <c:pt idx="70">
                  <c:v>-0.19</c:v>
                </c:pt>
                <c:pt idx="71">
                  <c:v>-0.27</c:v>
                </c:pt>
                <c:pt idx="72">
                  <c:v>-0.24</c:v>
                </c:pt>
                <c:pt idx="73">
                  <c:v>-0.2</c:v>
                </c:pt>
                <c:pt idx="74">
                  <c:v>-0.26</c:v>
                </c:pt>
                <c:pt idx="75">
                  <c:v>-0.17</c:v>
                </c:pt>
                <c:pt idx="76">
                  <c:v>-0.42</c:v>
                </c:pt>
                <c:pt idx="77">
                  <c:v>7.0000000000000007E-2</c:v>
                </c:pt>
                <c:pt idx="78">
                  <c:v>-0.39</c:v>
                </c:pt>
                <c:pt idx="79">
                  <c:v>-0.25</c:v>
                </c:pt>
                <c:pt idx="80">
                  <c:v>-0.36</c:v>
                </c:pt>
                <c:pt idx="81">
                  <c:v>0.01</c:v>
                </c:pt>
                <c:pt idx="82">
                  <c:v>-0.49</c:v>
                </c:pt>
                <c:pt idx="83">
                  <c:v>-0.15</c:v>
                </c:pt>
                <c:pt idx="84">
                  <c:v>-0.48</c:v>
                </c:pt>
                <c:pt idx="85">
                  <c:v>-0.03</c:v>
                </c:pt>
                <c:pt idx="86">
                  <c:v>-0.38</c:v>
                </c:pt>
                <c:pt idx="87">
                  <c:v>-0.52</c:v>
                </c:pt>
                <c:pt idx="88">
                  <c:v>-0.44</c:v>
                </c:pt>
                <c:pt idx="89">
                  <c:v>-0.34</c:v>
                </c:pt>
                <c:pt idx="90">
                  <c:v>-0.52</c:v>
                </c:pt>
                <c:pt idx="91">
                  <c:v>-0.42</c:v>
                </c:pt>
                <c:pt idx="92">
                  <c:v>-0.6</c:v>
                </c:pt>
                <c:pt idx="93">
                  <c:v>-0.59</c:v>
                </c:pt>
                <c:pt idx="94">
                  <c:v>-0.38</c:v>
                </c:pt>
                <c:pt idx="95">
                  <c:v>-0.61</c:v>
                </c:pt>
                <c:pt idx="96">
                  <c:v>-0.6</c:v>
                </c:pt>
                <c:pt idx="97">
                  <c:v>-0.47</c:v>
                </c:pt>
                <c:pt idx="98">
                  <c:v>-0.59</c:v>
                </c:pt>
                <c:pt idx="99">
                  <c:v>-0.69</c:v>
                </c:pt>
                <c:pt idx="100">
                  <c:v>-0.54</c:v>
                </c:pt>
                <c:pt idx="101">
                  <c:v>-0.6</c:v>
                </c:pt>
                <c:pt idx="102">
                  <c:v>-0.51</c:v>
                </c:pt>
                <c:pt idx="103">
                  <c:v>-0.84</c:v>
                </c:pt>
                <c:pt idx="104">
                  <c:v>-0.71</c:v>
                </c:pt>
                <c:pt idx="105">
                  <c:v>-0.49</c:v>
                </c:pt>
                <c:pt idx="106">
                  <c:v>-0.53</c:v>
                </c:pt>
                <c:pt idx="107">
                  <c:v>-0.59</c:v>
                </c:pt>
                <c:pt idx="108">
                  <c:v>-0.83</c:v>
                </c:pt>
                <c:pt idx="109">
                  <c:v>-0.03</c:v>
                </c:pt>
                <c:pt idx="110">
                  <c:v>-0.51</c:v>
                </c:pt>
                <c:pt idx="111">
                  <c:v>-0.36</c:v>
                </c:pt>
                <c:pt idx="112">
                  <c:v>-0.68</c:v>
                </c:pt>
                <c:pt idx="113">
                  <c:v>-0.71</c:v>
                </c:pt>
                <c:pt idx="114">
                  <c:v>-0.59</c:v>
                </c:pt>
                <c:pt idx="115">
                  <c:v>-0.59</c:v>
                </c:pt>
                <c:pt idx="116">
                  <c:v>-0.51</c:v>
                </c:pt>
                <c:pt idx="117">
                  <c:v>0.08</c:v>
                </c:pt>
                <c:pt idx="118">
                  <c:v>-0.72</c:v>
                </c:pt>
                <c:pt idx="119">
                  <c:v>-0.7</c:v>
                </c:pt>
                <c:pt idx="120">
                  <c:v>-0.75</c:v>
                </c:pt>
                <c:pt idx="121">
                  <c:v>-0.5</c:v>
                </c:pt>
                <c:pt idx="122">
                  <c:v>-0.66</c:v>
                </c:pt>
                <c:pt idx="123">
                  <c:v>-0.65</c:v>
                </c:pt>
                <c:pt idx="124">
                  <c:v>-0.72</c:v>
                </c:pt>
                <c:pt idx="125">
                  <c:v>-0.41</c:v>
                </c:pt>
                <c:pt idx="126">
                  <c:v>-0.35</c:v>
                </c:pt>
                <c:pt idx="127">
                  <c:v>-0.57999999999999996</c:v>
                </c:pt>
                <c:pt idx="128">
                  <c:v>-0.77</c:v>
                </c:pt>
                <c:pt idx="129">
                  <c:v>-0.4</c:v>
                </c:pt>
                <c:pt idx="130">
                  <c:v>-0.5</c:v>
                </c:pt>
                <c:pt idx="131">
                  <c:v>-0.56000000000000005</c:v>
                </c:pt>
                <c:pt idx="132">
                  <c:v>-0.59</c:v>
                </c:pt>
                <c:pt idx="133">
                  <c:v>-0.64</c:v>
                </c:pt>
                <c:pt idx="134">
                  <c:v>-0.54</c:v>
                </c:pt>
                <c:pt idx="135">
                  <c:v>-0.56000000000000005</c:v>
                </c:pt>
                <c:pt idx="136">
                  <c:v>-0.78</c:v>
                </c:pt>
                <c:pt idx="137">
                  <c:v>-0.25</c:v>
                </c:pt>
                <c:pt idx="138">
                  <c:v>-0.74</c:v>
                </c:pt>
                <c:pt idx="139">
                  <c:v>-0.71</c:v>
                </c:pt>
                <c:pt idx="140">
                  <c:v>-0.65</c:v>
                </c:pt>
                <c:pt idx="141">
                  <c:v>-0.68</c:v>
                </c:pt>
                <c:pt idx="142">
                  <c:v>-0.42</c:v>
                </c:pt>
                <c:pt idx="143">
                  <c:v>-0.84</c:v>
                </c:pt>
                <c:pt idx="144">
                  <c:v>-0.52</c:v>
                </c:pt>
                <c:pt idx="145">
                  <c:v>-0.17</c:v>
                </c:pt>
                <c:pt idx="146">
                  <c:v>-0.54</c:v>
                </c:pt>
                <c:pt idx="147">
                  <c:v>-0.45</c:v>
                </c:pt>
                <c:pt idx="148">
                  <c:v>-0.52</c:v>
                </c:pt>
                <c:pt idx="149">
                  <c:v>-0.48</c:v>
                </c:pt>
                <c:pt idx="150">
                  <c:v>-0.21</c:v>
                </c:pt>
                <c:pt idx="151">
                  <c:v>-0.1</c:v>
                </c:pt>
                <c:pt idx="152">
                  <c:v>-0.37</c:v>
                </c:pt>
                <c:pt idx="153">
                  <c:v>-0.35</c:v>
                </c:pt>
                <c:pt idx="154">
                  <c:v>0.03</c:v>
                </c:pt>
                <c:pt idx="155">
                  <c:v>0.22</c:v>
                </c:pt>
                <c:pt idx="156">
                  <c:v>-0.18</c:v>
                </c:pt>
                <c:pt idx="157">
                  <c:v>-0.31</c:v>
                </c:pt>
                <c:pt idx="158">
                  <c:v>0.03</c:v>
                </c:pt>
                <c:pt idx="159">
                  <c:v>-0.22</c:v>
                </c:pt>
                <c:pt idx="160">
                  <c:v>-0.03</c:v>
                </c:pt>
                <c:pt idx="161">
                  <c:v>0.1</c:v>
                </c:pt>
                <c:pt idx="162">
                  <c:v>0.39</c:v>
                </c:pt>
                <c:pt idx="163">
                  <c:v>-0.22</c:v>
                </c:pt>
                <c:pt idx="164">
                  <c:v>0.27</c:v>
                </c:pt>
                <c:pt idx="165">
                  <c:v>0.1</c:v>
                </c:pt>
                <c:pt idx="166">
                  <c:v>0.05</c:v>
                </c:pt>
                <c:pt idx="167">
                  <c:v>-0.08</c:v>
                </c:pt>
                <c:pt idx="168">
                  <c:v>0.11</c:v>
                </c:pt>
                <c:pt idx="169">
                  <c:v>0.09</c:v>
                </c:pt>
                <c:pt idx="170">
                  <c:v>0.31</c:v>
                </c:pt>
                <c:pt idx="171">
                  <c:v>-0.08</c:v>
                </c:pt>
                <c:pt idx="172">
                  <c:v>0.13</c:v>
                </c:pt>
                <c:pt idx="173">
                  <c:v>0.52</c:v>
                </c:pt>
                <c:pt idx="174">
                  <c:v>0.36</c:v>
                </c:pt>
                <c:pt idx="175">
                  <c:v>0.16</c:v>
                </c:pt>
                <c:pt idx="176">
                  <c:v>0.95</c:v>
                </c:pt>
                <c:pt idx="177">
                  <c:v>0.3</c:v>
                </c:pt>
                <c:pt idx="178">
                  <c:v>1.46</c:v>
                </c:pt>
                <c:pt idx="179">
                  <c:v>0.03</c:v>
                </c:pt>
                <c:pt idx="180">
                  <c:v>1.22</c:v>
                </c:pt>
                <c:pt idx="181">
                  <c:v>0.27</c:v>
                </c:pt>
                <c:pt idx="182">
                  <c:v>0.54</c:v>
                </c:pt>
                <c:pt idx="183">
                  <c:v>0.03</c:v>
                </c:pt>
                <c:pt idx="184">
                  <c:v>1</c:v>
                </c:pt>
                <c:pt idx="185">
                  <c:v>0.57999999999999996</c:v>
                </c:pt>
                <c:pt idx="186">
                  <c:v>1.61</c:v>
                </c:pt>
                <c:pt idx="187">
                  <c:v>0.08</c:v>
                </c:pt>
                <c:pt idx="188">
                  <c:v>0.83</c:v>
                </c:pt>
                <c:pt idx="189">
                  <c:v>0.28999999999999998</c:v>
                </c:pt>
                <c:pt idx="190">
                  <c:v>1.27</c:v>
                </c:pt>
                <c:pt idx="191">
                  <c:v>0.48</c:v>
                </c:pt>
                <c:pt idx="192">
                  <c:v>0.62</c:v>
                </c:pt>
                <c:pt idx="193">
                  <c:v>0.52</c:v>
                </c:pt>
                <c:pt idx="194">
                  <c:v>1.57</c:v>
                </c:pt>
                <c:pt idx="195">
                  <c:v>0.02</c:v>
                </c:pt>
                <c:pt idx="196">
                  <c:v>1.76</c:v>
                </c:pt>
                <c:pt idx="197">
                  <c:v>0.31</c:v>
                </c:pt>
                <c:pt idx="198">
                  <c:v>1.88</c:v>
                </c:pt>
                <c:pt idx="199">
                  <c:v>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3F-4EF4-B432-73E60E2F7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127039"/>
        <c:axId val="1903135679"/>
      </c:scatterChart>
      <c:valAx>
        <c:axId val="190312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35679"/>
        <c:crosses val="autoZero"/>
        <c:crossBetween val="midCat"/>
      </c:valAx>
      <c:valAx>
        <c:axId val="19031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2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</a:t>
            </a:r>
            <a:r>
              <a:rPr lang="en-US" baseline="0"/>
              <a:t> vs. Experimental Angular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5174800"/>
        <c:axId val="1851752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Theoretical Values</c:v>
                </c:tx>
                <c:spPr>
                  <a:ln w="95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 Analysis'!$A$2:$A$361</c15:sqref>
                        </c15:formulaRef>
                      </c:ext>
                    </c:extLst>
                    <c:numCache>
                      <c:formatCode>General</c:formatCode>
                      <c:ptCount val="360"/>
                      <c:pt idx="0">
                        <c:v>0</c:v>
                      </c:pt>
                      <c:pt idx="1">
                        <c:v>1.1142061E-2</c:v>
                      </c:pt>
                      <c:pt idx="2">
                        <c:v>2.2284122E-2</c:v>
                      </c:pt>
                      <c:pt idx="3">
                        <c:v>3.3426182999999998E-2</c:v>
                      </c:pt>
                      <c:pt idx="4">
                        <c:v>4.4568244E-2</c:v>
                      </c:pt>
                      <c:pt idx="5">
                        <c:v>5.5710305000000002E-2</c:v>
                      </c:pt>
                      <c:pt idx="6">
                        <c:v>6.6852365999999996E-2</c:v>
                      </c:pt>
                      <c:pt idx="7">
                        <c:v>7.7994427000000005E-2</c:v>
                      </c:pt>
                      <c:pt idx="8">
                        <c:v>8.9136488E-2</c:v>
                      </c:pt>
                      <c:pt idx="9">
                        <c:v>0.10027854899999999</c:v>
                      </c:pt>
                      <c:pt idx="10">
                        <c:v>0.11142061</c:v>
                      </c:pt>
                      <c:pt idx="11">
                        <c:v>0.122562671</c:v>
                      </c:pt>
                      <c:pt idx="12">
                        <c:v>0.13370473199999999</c:v>
                      </c:pt>
                      <c:pt idx="13">
                        <c:v>0.144846793</c:v>
                      </c:pt>
                      <c:pt idx="14">
                        <c:v>0.15598885400000001</c:v>
                      </c:pt>
                      <c:pt idx="15">
                        <c:v>0.16713091499999999</c:v>
                      </c:pt>
                      <c:pt idx="16">
                        <c:v>0.178272976</c:v>
                      </c:pt>
                      <c:pt idx="17">
                        <c:v>0.18941503700000001</c:v>
                      </c:pt>
                      <c:pt idx="18">
                        <c:v>0.20055709799999999</c:v>
                      </c:pt>
                      <c:pt idx="19">
                        <c:v>0.211699159</c:v>
                      </c:pt>
                      <c:pt idx="20">
                        <c:v>0.22284122000000001</c:v>
                      </c:pt>
                      <c:pt idx="21">
                        <c:v>0.23398328099999999</c:v>
                      </c:pt>
                      <c:pt idx="22">
                        <c:v>0.245125342</c:v>
                      </c:pt>
                      <c:pt idx="23">
                        <c:v>0.256267403</c:v>
                      </c:pt>
                      <c:pt idx="24">
                        <c:v>0.26740946399999999</c:v>
                      </c:pt>
                      <c:pt idx="25">
                        <c:v>0.27855152500000002</c:v>
                      </c:pt>
                      <c:pt idx="26">
                        <c:v>0.289693586</c:v>
                      </c:pt>
                      <c:pt idx="27">
                        <c:v>0.30083564699999998</c:v>
                      </c:pt>
                      <c:pt idx="28">
                        <c:v>0.31197770800000002</c:v>
                      </c:pt>
                      <c:pt idx="29">
                        <c:v>0.323119769</c:v>
                      </c:pt>
                      <c:pt idx="30">
                        <c:v>0.33426182999999998</c:v>
                      </c:pt>
                      <c:pt idx="31">
                        <c:v>0.34540389100000002</c:v>
                      </c:pt>
                      <c:pt idx="32">
                        <c:v>0.356545952</c:v>
                      </c:pt>
                      <c:pt idx="33">
                        <c:v>0.36768801299999998</c:v>
                      </c:pt>
                      <c:pt idx="34">
                        <c:v>0.37883007400000002</c:v>
                      </c:pt>
                      <c:pt idx="35">
                        <c:v>0.389972135</c:v>
                      </c:pt>
                      <c:pt idx="36">
                        <c:v>0.40111419599999998</c:v>
                      </c:pt>
                      <c:pt idx="37">
                        <c:v>0.41225625700000001</c:v>
                      </c:pt>
                      <c:pt idx="38">
                        <c:v>0.423398318</c:v>
                      </c:pt>
                      <c:pt idx="39">
                        <c:v>0.43454037899999998</c:v>
                      </c:pt>
                      <c:pt idx="40">
                        <c:v>0.44568244000000001</c:v>
                      </c:pt>
                      <c:pt idx="41">
                        <c:v>0.45682450099999999</c:v>
                      </c:pt>
                      <c:pt idx="42">
                        <c:v>0.46796656199999997</c:v>
                      </c:pt>
                      <c:pt idx="43">
                        <c:v>0.47910862300000001</c:v>
                      </c:pt>
                      <c:pt idx="44">
                        <c:v>0.49025068399999999</c:v>
                      </c:pt>
                      <c:pt idx="45">
                        <c:v>0.50139274499999997</c:v>
                      </c:pt>
                      <c:pt idx="46">
                        <c:v>0.51253480600000001</c:v>
                      </c:pt>
                      <c:pt idx="47">
                        <c:v>0.52367686700000005</c:v>
                      </c:pt>
                      <c:pt idx="48">
                        <c:v>0.53481892799999997</c:v>
                      </c:pt>
                      <c:pt idx="49">
                        <c:v>0.54596098900000001</c:v>
                      </c:pt>
                      <c:pt idx="50">
                        <c:v>0.55710305000000004</c:v>
                      </c:pt>
                      <c:pt idx="51">
                        <c:v>0.56824511099999997</c:v>
                      </c:pt>
                      <c:pt idx="52">
                        <c:v>0.57938717200000001</c:v>
                      </c:pt>
                      <c:pt idx="53">
                        <c:v>0.59052923300000004</c:v>
                      </c:pt>
                      <c:pt idx="54">
                        <c:v>0.60167129399999997</c:v>
                      </c:pt>
                      <c:pt idx="55">
                        <c:v>0.612813355</c:v>
                      </c:pt>
                      <c:pt idx="56">
                        <c:v>0.62395541600000004</c:v>
                      </c:pt>
                      <c:pt idx="57">
                        <c:v>0.63509747699999997</c:v>
                      </c:pt>
                      <c:pt idx="58">
                        <c:v>0.646239538</c:v>
                      </c:pt>
                      <c:pt idx="59">
                        <c:v>0.65738159900000004</c:v>
                      </c:pt>
                      <c:pt idx="60">
                        <c:v>0.66852365999999996</c:v>
                      </c:pt>
                      <c:pt idx="61">
                        <c:v>0.679665721</c:v>
                      </c:pt>
                      <c:pt idx="62">
                        <c:v>0.69080778200000004</c:v>
                      </c:pt>
                      <c:pt idx="63">
                        <c:v>0.70194984299999996</c:v>
                      </c:pt>
                      <c:pt idx="64">
                        <c:v>0.713091904</c:v>
                      </c:pt>
                      <c:pt idx="65">
                        <c:v>0.72423396500000004</c:v>
                      </c:pt>
                      <c:pt idx="66">
                        <c:v>0.73537602599999996</c:v>
                      </c:pt>
                      <c:pt idx="67">
                        <c:v>0.746518087</c:v>
                      </c:pt>
                      <c:pt idx="68">
                        <c:v>0.75766014800000003</c:v>
                      </c:pt>
                      <c:pt idx="69">
                        <c:v>0.76880220899999996</c:v>
                      </c:pt>
                      <c:pt idx="70">
                        <c:v>0.77994427</c:v>
                      </c:pt>
                      <c:pt idx="71">
                        <c:v>0.79108633100000003</c:v>
                      </c:pt>
                      <c:pt idx="72">
                        <c:v>0.80222839199999996</c:v>
                      </c:pt>
                      <c:pt idx="73">
                        <c:v>0.81337045299999999</c:v>
                      </c:pt>
                      <c:pt idx="74">
                        <c:v>0.82451251400000003</c:v>
                      </c:pt>
                      <c:pt idx="75">
                        <c:v>0.83565457499999996</c:v>
                      </c:pt>
                      <c:pt idx="76">
                        <c:v>0.84679663599999999</c:v>
                      </c:pt>
                      <c:pt idx="77">
                        <c:v>0.85793869700000003</c:v>
                      </c:pt>
                      <c:pt idx="78">
                        <c:v>0.86908075799999995</c:v>
                      </c:pt>
                      <c:pt idx="79">
                        <c:v>0.88022281899999999</c:v>
                      </c:pt>
                      <c:pt idx="80">
                        <c:v>0.89136488000000003</c:v>
                      </c:pt>
                      <c:pt idx="81">
                        <c:v>0.90250694099999995</c:v>
                      </c:pt>
                      <c:pt idx="82">
                        <c:v>0.91364900199999999</c:v>
                      </c:pt>
                      <c:pt idx="83">
                        <c:v>0.92479106300000002</c:v>
                      </c:pt>
                      <c:pt idx="84">
                        <c:v>0.93593312399999995</c:v>
                      </c:pt>
                      <c:pt idx="85">
                        <c:v>0.94707518499999999</c:v>
                      </c:pt>
                      <c:pt idx="86">
                        <c:v>0.95821724600000002</c:v>
                      </c:pt>
                      <c:pt idx="87">
                        <c:v>0.96935930699999995</c:v>
                      </c:pt>
                      <c:pt idx="88">
                        <c:v>0.98050136799999998</c:v>
                      </c:pt>
                      <c:pt idx="89">
                        <c:v>0.99164342900000002</c:v>
                      </c:pt>
                      <c:pt idx="90">
                        <c:v>1.0027854899999999</c:v>
                      </c:pt>
                      <c:pt idx="91">
                        <c:v>1.0139275510000001</c:v>
                      </c:pt>
                      <c:pt idx="92">
                        <c:v>1.025069612</c:v>
                      </c:pt>
                      <c:pt idx="93">
                        <c:v>1.0362116729999999</c:v>
                      </c:pt>
                      <c:pt idx="94">
                        <c:v>1.0473537340000001</c:v>
                      </c:pt>
                      <c:pt idx="95">
                        <c:v>1.058495795</c:v>
                      </c:pt>
                      <c:pt idx="96">
                        <c:v>1.0696378559999999</c:v>
                      </c:pt>
                      <c:pt idx="97">
                        <c:v>1.0807799170000001</c:v>
                      </c:pt>
                      <c:pt idx="98">
                        <c:v>1.091921978</c:v>
                      </c:pt>
                      <c:pt idx="99">
                        <c:v>1.1030640389999999</c:v>
                      </c:pt>
                      <c:pt idx="100">
                        <c:v>1.1142061000000001</c:v>
                      </c:pt>
                      <c:pt idx="101">
                        <c:v>1.125348161</c:v>
                      </c:pt>
                      <c:pt idx="102">
                        <c:v>1.1364902219999999</c:v>
                      </c:pt>
                      <c:pt idx="103">
                        <c:v>1.1476322830000001</c:v>
                      </c:pt>
                      <c:pt idx="104">
                        <c:v>1.158774344</c:v>
                      </c:pt>
                      <c:pt idx="105">
                        <c:v>1.1699164049999999</c:v>
                      </c:pt>
                      <c:pt idx="106">
                        <c:v>1.1810584660000001</c:v>
                      </c:pt>
                      <c:pt idx="107">
                        <c:v>1.192200527</c:v>
                      </c:pt>
                      <c:pt idx="108">
                        <c:v>1.2033425879999999</c:v>
                      </c:pt>
                      <c:pt idx="109">
                        <c:v>1.2144846490000001</c:v>
                      </c:pt>
                      <c:pt idx="110">
                        <c:v>1.22562671</c:v>
                      </c:pt>
                      <c:pt idx="111">
                        <c:v>1.2367687709999999</c:v>
                      </c:pt>
                      <c:pt idx="112">
                        <c:v>1.2479108320000001</c:v>
                      </c:pt>
                      <c:pt idx="113">
                        <c:v>1.259052893</c:v>
                      </c:pt>
                      <c:pt idx="114">
                        <c:v>1.2701949539999999</c:v>
                      </c:pt>
                      <c:pt idx="115">
                        <c:v>1.2813370150000001</c:v>
                      </c:pt>
                      <c:pt idx="116">
                        <c:v>1.292479076</c:v>
                      </c:pt>
                      <c:pt idx="117">
                        <c:v>1.3036211369999999</c:v>
                      </c:pt>
                      <c:pt idx="118">
                        <c:v>1.3147631980000001</c:v>
                      </c:pt>
                      <c:pt idx="119">
                        <c:v>1.325905259</c:v>
                      </c:pt>
                      <c:pt idx="120">
                        <c:v>1.3370473199999999</c:v>
                      </c:pt>
                      <c:pt idx="121">
                        <c:v>1.3481893810000001</c:v>
                      </c:pt>
                      <c:pt idx="122">
                        <c:v>1.359331442</c:v>
                      </c:pt>
                      <c:pt idx="123">
                        <c:v>1.3704735029999999</c:v>
                      </c:pt>
                      <c:pt idx="124">
                        <c:v>1.3816155640000001</c:v>
                      </c:pt>
                      <c:pt idx="125">
                        <c:v>1.392757625</c:v>
                      </c:pt>
                      <c:pt idx="126">
                        <c:v>1.4038996859999999</c:v>
                      </c:pt>
                      <c:pt idx="127">
                        <c:v>1.4150417470000001</c:v>
                      </c:pt>
                      <c:pt idx="128">
                        <c:v>1.426183808</c:v>
                      </c:pt>
                      <c:pt idx="129">
                        <c:v>1.4373258689999999</c:v>
                      </c:pt>
                      <c:pt idx="130">
                        <c:v>1.4484679300000001</c:v>
                      </c:pt>
                      <c:pt idx="131">
                        <c:v>1.459609991</c:v>
                      </c:pt>
                      <c:pt idx="132">
                        <c:v>1.4707520519999999</c:v>
                      </c:pt>
                      <c:pt idx="133">
                        <c:v>1.4818941130000001</c:v>
                      </c:pt>
                      <c:pt idx="134">
                        <c:v>1.493036174</c:v>
                      </c:pt>
                      <c:pt idx="135">
                        <c:v>1.5041782349999999</c:v>
                      </c:pt>
                      <c:pt idx="136">
                        <c:v>1.5153202960000001</c:v>
                      </c:pt>
                      <c:pt idx="137">
                        <c:v>1.526462357</c:v>
                      </c:pt>
                      <c:pt idx="138">
                        <c:v>1.5376044179999999</c:v>
                      </c:pt>
                      <c:pt idx="139">
                        <c:v>1.5487464790000001</c:v>
                      </c:pt>
                      <c:pt idx="140">
                        <c:v>1.55988854</c:v>
                      </c:pt>
                      <c:pt idx="141">
                        <c:v>1.5710306009999999</c:v>
                      </c:pt>
                      <c:pt idx="142">
                        <c:v>1.5821726620000001</c:v>
                      </c:pt>
                      <c:pt idx="143">
                        <c:v>1.593314723</c:v>
                      </c:pt>
                      <c:pt idx="144">
                        <c:v>1.6044567839999999</c:v>
                      </c:pt>
                      <c:pt idx="145">
                        <c:v>1.6155988450000001</c:v>
                      </c:pt>
                      <c:pt idx="146">
                        <c:v>1.626740906</c:v>
                      </c:pt>
                      <c:pt idx="147">
                        <c:v>1.6378829669999999</c:v>
                      </c:pt>
                      <c:pt idx="148">
                        <c:v>1.6490250280000001</c:v>
                      </c:pt>
                      <c:pt idx="149">
                        <c:v>1.660167089</c:v>
                      </c:pt>
                      <c:pt idx="150">
                        <c:v>1.6713091499999999</c:v>
                      </c:pt>
                      <c:pt idx="151">
                        <c:v>1.6824512110000001</c:v>
                      </c:pt>
                      <c:pt idx="152">
                        <c:v>1.693593272</c:v>
                      </c:pt>
                      <c:pt idx="153">
                        <c:v>1.7047353329999999</c:v>
                      </c:pt>
                      <c:pt idx="154">
                        <c:v>1.7158773940000001</c:v>
                      </c:pt>
                      <c:pt idx="155">
                        <c:v>1.727019455</c:v>
                      </c:pt>
                      <c:pt idx="156">
                        <c:v>1.7381615159999999</c:v>
                      </c:pt>
                      <c:pt idx="157">
                        <c:v>1.7493035770000001</c:v>
                      </c:pt>
                      <c:pt idx="158">
                        <c:v>1.760445638</c:v>
                      </c:pt>
                      <c:pt idx="159">
                        <c:v>1.7715876989999999</c:v>
                      </c:pt>
                      <c:pt idx="160">
                        <c:v>1.7827297600000001</c:v>
                      </c:pt>
                      <c:pt idx="161">
                        <c:v>1.793871821</c:v>
                      </c:pt>
                      <c:pt idx="162">
                        <c:v>1.8050138819999999</c:v>
                      </c:pt>
                      <c:pt idx="163">
                        <c:v>1.8161559430000001</c:v>
                      </c:pt>
                      <c:pt idx="164">
                        <c:v>1.827298004</c:v>
                      </c:pt>
                      <c:pt idx="165">
                        <c:v>1.8384400649999999</c:v>
                      </c:pt>
                      <c:pt idx="166">
                        <c:v>1.849582126</c:v>
                      </c:pt>
                      <c:pt idx="167">
                        <c:v>1.860724187</c:v>
                      </c:pt>
                      <c:pt idx="168">
                        <c:v>1.8718662479999999</c:v>
                      </c:pt>
                      <c:pt idx="169">
                        <c:v>1.883008309</c:v>
                      </c:pt>
                      <c:pt idx="170">
                        <c:v>1.89415037</c:v>
                      </c:pt>
                      <c:pt idx="171">
                        <c:v>1.9052924309999999</c:v>
                      </c:pt>
                      <c:pt idx="172">
                        <c:v>1.916434492</c:v>
                      </c:pt>
                      <c:pt idx="173">
                        <c:v>1.927576553</c:v>
                      </c:pt>
                      <c:pt idx="174">
                        <c:v>1.9387186139999999</c:v>
                      </c:pt>
                      <c:pt idx="175">
                        <c:v>1.949860675</c:v>
                      </c:pt>
                      <c:pt idx="176">
                        <c:v>1.961002736</c:v>
                      </c:pt>
                      <c:pt idx="177">
                        <c:v>1.9721447969999999</c:v>
                      </c:pt>
                      <c:pt idx="178">
                        <c:v>1.983286858</c:v>
                      </c:pt>
                      <c:pt idx="179">
                        <c:v>1.994428919</c:v>
                      </c:pt>
                      <c:pt idx="180">
                        <c:v>2.0055709799999999</c:v>
                      </c:pt>
                      <c:pt idx="181">
                        <c:v>2.016713041</c:v>
                      </c:pt>
                      <c:pt idx="182">
                        <c:v>2.0278551020000002</c:v>
                      </c:pt>
                      <c:pt idx="183">
                        <c:v>2.0389971629999999</c:v>
                      </c:pt>
                      <c:pt idx="184">
                        <c:v>2.050139224</c:v>
                      </c:pt>
                      <c:pt idx="185">
                        <c:v>2.0612812850000002</c:v>
                      </c:pt>
                      <c:pt idx="186">
                        <c:v>2.0724233459999999</c:v>
                      </c:pt>
                      <c:pt idx="187">
                        <c:v>2.083565407</c:v>
                      </c:pt>
                      <c:pt idx="188">
                        <c:v>2.0947074680000002</c:v>
                      </c:pt>
                      <c:pt idx="189">
                        <c:v>2.1058495289999999</c:v>
                      </c:pt>
                      <c:pt idx="190">
                        <c:v>2.11699159</c:v>
                      </c:pt>
                      <c:pt idx="191">
                        <c:v>2.1281336510000002</c:v>
                      </c:pt>
                      <c:pt idx="192">
                        <c:v>2.1392757119999999</c:v>
                      </c:pt>
                      <c:pt idx="193">
                        <c:v>2.150417773</c:v>
                      </c:pt>
                      <c:pt idx="194">
                        <c:v>2.1615598340000002</c:v>
                      </c:pt>
                      <c:pt idx="195">
                        <c:v>2.1727018949999999</c:v>
                      </c:pt>
                      <c:pt idx="196">
                        <c:v>2.183843956</c:v>
                      </c:pt>
                      <c:pt idx="197">
                        <c:v>2.1949860170000002</c:v>
                      </c:pt>
                      <c:pt idx="198">
                        <c:v>2.2061280779999999</c:v>
                      </c:pt>
                      <c:pt idx="199">
                        <c:v>2.217270139</c:v>
                      </c:pt>
                      <c:pt idx="200">
                        <c:v>2.2284122000000002</c:v>
                      </c:pt>
                      <c:pt idx="201">
                        <c:v>2.2395542609999999</c:v>
                      </c:pt>
                      <c:pt idx="202">
                        <c:v>2.250696322</c:v>
                      </c:pt>
                      <c:pt idx="203">
                        <c:v>2.2618383830000002</c:v>
                      </c:pt>
                      <c:pt idx="204">
                        <c:v>2.2729804439999999</c:v>
                      </c:pt>
                      <c:pt idx="205">
                        <c:v>2.284122505</c:v>
                      </c:pt>
                      <c:pt idx="206">
                        <c:v>2.2952645660000002</c:v>
                      </c:pt>
                      <c:pt idx="207">
                        <c:v>2.3064066269999999</c:v>
                      </c:pt>
                      <c:pt idx="208">
                        <c:v>2.317548688</c:v>
                      </c:pt>
                      <c:pt idx="209">
                        <c:v>2.3286907490000002</c:v>
                      </c:pt>
                      <c:pt idx="210">
                        <c:v>2.3398328099999999</c:v>
                      </c:pt>
                      <c:pt idx="211">
                        <c:v>2.350974871</c:v>
                      </c:pt>
                      <c:pt idx="212">
                        <c:v>2.3621169320000002</c:v>
                      </c:pt>
                      <c:pt idx="213">
                        <c:v>2.3732589929999999</c:v>
                      </c:pt>
                      <c:pt idx="214">
                        <c:v>2.384401054</c:v>
                      </c:pt>
                      <c:pt idx="215">
                        <c:v>2.3955431150000002</c:v>
                      </c:pt>
                      <c:pt idx="216">
                        <c:v>2.4066851759999999</c:v>
                      </c:pt>
                      <c:pt idx="217">
                        <c:v>2.417827237</c:v>
                      </c:pt>
                      <c:pt idx="218">
                        <c:v>2.4289692980000002</c:v>
                      </c:pt>
                      <c:pt idx="219">
                        <c:v>2.4401113589999999</c:v>
                      </c:pt>
                      <c:pt idx="220">
                        <c:v>2.45125342</c:v>
                      </c:pt>
                      <c:pt idx="221">
                        <c:v>2.4623954810000002</c:v>
                      </c:pt>
                      <c:pt idx="222">
                        <c:v>2.4735375419999999</c:v>
                      </c:pt>
                      <c:pt idx="223">
                        <c:v>2.484679603</c:v>
                      </c:pt>
                      <c:pt idx="224">
                        <c:v>2.4958216640000002</c:v>
                      </c:pt>
                      <c:pt idx="225">
                        <c:v>2.5069637249999999</c:v>
                      </c:pt>
                      <c:pt idx="226">
                        <c:v>2.518105786</c:v>
                      </c:pt>
                      <c:pt idx="227">
                        <c:v>2.5292478470000002</c:v>
                      </c:pt>
                      <c:pt idx="228">
                        <c:v>2.5403899079999999</c:v>
                      </c:pt>
                      <c:pt idx="229">
                        <c:v>2.551531969</c:v>
                      </c:pt>
                      <c:pt idx="230">
                        <c:v>2.5626740300000002</c:v>
                      </c:pt>
                      <c:pt idx="231">
                        <c:v>2.5738160909999999</c:v>
                      </c:pt>
                      <c:pt idx="232">
                        <c:v>2.584958152</c:v>
                      </c:pt>
                      <c:pt idx="233">
                        <c:v>2.5961002130000002</c:v>
                      </c:pt>
                      <c:pt idx="234">
                        <c:v>2.6072422739999999</c:v>
                      </c:pt>
                      <c:pt idx="235">
                        <c:v>2.618384335</c:v>
                      </c:pt>
                      <c:pt idx="236">
                        <c:v>2.6295263960000002</c:v>
                      </c:pt>
                      <c:pt idx="237">
                        <c:v>2.6406684569999999</c:v>
                      </c:pt>
                      <c:pt idx="238">
                        <c:v>2.651810518</c:v>
                      </c:pt>
                      <c:pt idx="239">
                        <c:v>2.6629525790000002</c:v>
                      </c:pt>
                      <c:pt idx="240">
                        <c:v>2.6740946399999999</c:v>
                      </c:pt>
                      <c:pt idx="241">
                        <c:v>2.685236701</c:v>
                      </c:pt>
                      <c:pt idx="242">
                        <c:v>2.6963787620000002</c:v>
                      </c:pt>
                      <c:pt idx="243">
                        <c:v>2.7075208229999999</c:v>
                      </c:pt>
                      <c:pt idx="244">
                        <c:v>2.718662884</c:v>
                      </c:pt>
                      <c:pt idx="245">
                        <c:v>2.7298049450000001</c:v>
                      </c:pt>
                      <c:pt idx="246">
                        <c:v>2.7409470059999999</c:v>
                      </c:pt>
                      <c:pt idx="247">
                        <c:v>2.752089067</c:v>
                      </c:pt>
                      <c:pt idx="248">
                        <c:v>2.7632311280000001</c:v>
                      </c:pt>
                      <c:pt idx="249">
                        <c:v>2.7743731889999999</c:v>
                      </c:pt>
                      <c:pt idx="250">
                        <c:v>2.78551525</c:v>
                      </c:pt>
                      <c:pt idx="251">
                        <c:v>2.7966573110000001</c:v>
                      </c:pt>
                      <c:pt idx="252">
                        <c:v>2.8077993719999998</c:v>
                      </c:pt>
                      <c:pt idx="253">
                        <c:v>2.818941433</c:v>
                      </c:pt>
                      <c:pt idx="254">
                        <c:v>2.8300834940000001</c:v>
                      </c:pt>
                      <c:pt idx="255">
                        <c:v>2.8412255549999998</c:v>
                      </c:pt>
                      <c:pt idx="256">
                        <c:v>2.852367616</c:v>
                      </c:pt>
                      <c:pt idx="257">
                        <c:v>2.8635096770000001</c:v>
                      </c:pt>
                      <c:pt idx="258">
                        <c:v>2.8746517379999998</c:v>
                      </c:pt>
                      <c:pt idx="259">
                        <c:v>2.885793799</c:v>
                      </c:pt>
                      <c:pt idx="260">
                        <c:v>2.8969358600000001</c:v>
                      </c:pt>
                      <c:pt idx="261">
                        <c:v>2.9080779209999998</c:v>
                      </c:pt>
                      <c:pt idx="262">
                        <c:v>2.919219982</c:v>
                      </c:pt>
                      <c:pt idx="263">
                        <c:v>2.9303620430000001</c:v>
                      </c:pt>
                      <c:pt idx="264">
                        <c:v>2.9415041039999998</c:v>
                      </c:pt>
                      <c:pt idx="265">
                        <c:v>2.952646165</c:v>
                      </c:pt>
                      <c:pt idx="266">
                        <c:v>2.9637882260000001</c:v>
                      </c:pt>
                      <c:pt idx="267">
                        <c:v>2.9749302869999998</c:v>
                      </c:pt>
                      <c:pt idx="268">
                        <c:v>2.986072348</c:v>
                      </c:pt>
                      <c:pt idx="269">
                        <c:v>2.9972144090000001</c:v>
                      </c:pt>
                      <c:pt idx="270">
                        <c:v>3.0083564699999998</c:v>
                      </c:pt>
                      <c:pt idx="271">
                        <c:v>3.019498531</c:v>
                      </c:pt>
                      <c:pt idx="272">
                        <c:v>3.0306405920000001</c:v>
                      </c:pt>
                      <c:pt idx="273">
                        <c:v>3.0417826529999998</c:v>
                      </c:pt>
                      <c:pt idx="274">
                        <c:v>3.052924714</c:v>
                      </c:pt>
                      <c:pt idx="275">
                        <c:v>3.0640667750000001</c:v>
                      </c:pt>
                      <c:pt idx="276">
                        <c:v>3.0752088359999998</c:v>
                      </c:pt>
                      <c:pt idx="277">
                        <c:v>3.086350897</c:v>
                      </c:pt>
                      <c:pt idx="278">
                        <c:v>3.0974929580000001</c:v>
                      </c:pt>
                      <c:pt idx="279">
                        <c:v>3.1086350189999998</c:v>
                      </c:pt>
                      <c:pt idx="280">
                        <c:v>3.11977708</c:v>
                      </c:pt>
                      <c:pt idx="281">
                        <c:v>3.1309191410000001</c:v>
                      </c:pt>
                      <c:pt idx="282">
                        <c:v>3.1420612019999998</c:v>
                      </c:pt>
                      <c:pt idx="283">
                        <c:v>3.153203263</c:v>
                      </c:pt>
                      <c:pt idx="284">
                        <c:v>3.1643453240000001</c:v>
                      </c:pt>
                      <c:pt idx="285">
                        <c:v>3.1754873849999998</c:v>
                      </c:pt>
                      <c:pt idx="286">
                        <c:v>3.186629446</c:v>
                      </c:pt>
                      <c:pt idx="287">
                        <c:v>3.1977715070000001</c:v>
                      </c:pt>
                      <c:pt idx="288">
                        <c:v>3.2089135679999998</c:v>
                      </c:pt>
                      <c:pt idx="289">
                        <c:v>3.220055629</c:v>
                      </c:pt>
                      <c:pt idx="290">
                        <c:v>3.2311976900000001</c:v>
                      </c:pt>
                      <c:pt idx="291">
                        <c:v>3.2423397509999998</c:v>
                      </c:pt>
                      <c:pt idx="292">
                        <c:v>3.253481812</c:v>
                      </c:pt>
                      <c:pt idx="293">
                        <c:v>3.2646238730000001</c:v>
                      </c:pt>
                      <c:pt idx="294">
                        <c:v>3.2757659339999998</c:v>
                      </c:pt>
                      <c:pt idx="295">
                        <c:v>3.286907995</c:v>
                      </c:pt>
                      <c:pt idx="296">
                        <c:v>3.2980500560000001</c:v>
                      </c:pt>
                      <c:pt idx="297">
                        <c:v>3.3091921169999998</c:v>
                      </c:pt>
                      <c:pt idx="298">
                        <c:v>3.320334178</c:v>
                      </c:pt>
                      <c:pt idx="299">
                        <c:v>3.3314762390000001</c:v>
                      </c:pt>
                      <c:pt idx="300">
                        <c:v>3.3426182999999998</c:v>
                      </c:pt>
                      <c:pt idx="301">
                        <c:v>3.353760361</c:v>
                      </c:pt>
                      <c:pt idx="302">
                        <c:v>3.3649024220000001</c:v>
                      </c:pt>
                      <c:pt idx="303">
                        <c:v>3.3760444829999998</c:v>
                      </c:pt>
                      <c:pt idx="304">
                        <c:v>3.387186544</c:v>
                      </c:pt>
                      <c:pt idx="305">
                        <c:v>3.3983286050000001</c:v>
                      </c:pt>
                      <c:pt idx="306">
                        <c:v>3.4094706659999998</c:v>
                      </c:pt>
                      <c:pt idx="307">
                        <c:v>3.420612727</c:v>
                      </c:pt>
                      <c:pt idx="308">
                        <c:v>3.4317547880000001</c:v>
                      </c:pt>
                      <c:pt idx="309">
                        <c:v>3.4428968489999998</c:v>
                      </c:pt>
                      <c:pt idx="310">
                        <c:v>3.45403891</c:v>
                      </c:pt>
                      <c:pt idx="311">
                        <c:v>3.4651809710000001</c:v>
                      </c:pt>
                      <c:pt idx="312">
                        <c:v>3.4763230319999998</c:v>
                      </c:pt>
                      <c:pt idx="313">
                        <c:v>3.487465093</c:v>
                      </c:pt>
                      <c:pt idx="314">
                        <c:v>3.4986071540000001</c:v>
                      </c:pt>
                      <c:pt idx="315">
                        <c:v>3.5097492149999998</c:v>
                      </c:pt>
                      <c:pt idx="316">
                        <c:v>3.520891276</c:v>
                      </c:pt>
                      <c:pt idx="317">
                        <c:v>3.5320333370000001</c:v>
                      </c:pt>
                      <c:pt idx="318">
                        <c:v>3.5431753979999998</c:v>
                      </c:pt>
                      <c:pt idx="319">
                        <c:v>3.554317459</c:v>
                      </c:pt>
                      <c:pt idx="320">
                        <c:v>3.5654595200000001</c:v>
                      </c:pt>
                      <c:pt idx="321">
                        <c:v>3.5766015809999998</c:v>
                      </c:pt>
                      <c:pt idx="322">
                        <c:v>3.587743642</c:v>
                      </c:pt>
                      <c:pt idx="323">
                        <c:v>3.5988857030000001</c:v>
                      </c:pt>
                      <c:pt idx="324">
                        <c:v>3.6100277639999998</c:v>
                      </c:pt>
                      <c:pt idx="325">
                        <c:v>3.621169825</c:v>
                      </c:pt>
                      <c:pt idx="326">
                        <c:v>3.6323118860000001</c:v>
                      </c:pt>
                      <c:pt idx="327">
                        <c:v>3.6434539469999998</c:v>
                      </c:pt>
                      <c:pt idx="328">
                        <c:v>3.654596008</c:v>
                      </c:pt>
                      <c:pt idx="329">
                        <c:v>3.6657380690000001</c:v>
                      </c:pt>
                      <c:pt idx="330">
                        <c:v>3.6768801299999998</c:v>
                      </c:pt>
                      <c:pt idx="331">
                        <c:v>3.6880221909999999</c:v>
                      </c:pt>
                      <c:pt idx="332">
                        <c:v>3.6991642520000001</c:v>
                      </c:pt>
                      <c:pt idx="333">
                        <c:v>3.7103063129999998</c:v>
                      </c:pt>
                      <c:pt idx="334">
                        <c:v>3.7214483739999999</c:v>
                      </c:pt>
                      <c:pt idx="335">
                        <c:v>3.7325904350000001</c:v>
                      </c:pt>
                      <c:pt idx="336">
                        <c:v>3.7437324959999998</c:v>
                      </c:pt>
                      <c:pt idx="337">
                        <c:v>3.7548745569999999</c:v>
                      </c:pt>
                      <c:pt idx="338">
                        <c:v>3.7660166180000001</c:v>
                      </c:pt>
                      <c:pt idx="339">
                        <c:v>3.7771586789999998</c:v>
                      </c:pt>
                      <c:pt idx="340">
                        <c:v>3.7883007399999999</c:v>
                      </c:pt>
                      <c:pt idx="341">
                        <c:v>3.7994428010000001</c:v>
                      </c:pt>
                      <c:pt idx="342">
                        <c:v>3.8105848619999998</c:v>
                      </c:pt>
                      <c:pt idx="343">
                        <c:v>3.8217269229999999</c:v>
                      </c:pt>
                      <c:pt idx="344">
                        <c:v>3.8328689840000001</c:v>
                      </c:pt>
                      <c:pt idx="345">
                        <c:v>3.8440110449999998</c:v>
                      </c:pt>
                      <c:pt idx="346">
                        <c:v>3.8551531059999999</c:v>
                      </c:pt>
                      <c:pt idx="347">
                        <c:v>3.8662951670000001</c:v>
                      </c:pt>
                      <c:pt idx="348">
                        <c:v>3.8774372279999998</c:v>
                      </c:pt>
                      <c:pt idx="349">
                        <c:v>3.8885792889999999</c:v>
                      </c:pt>
                      <c:pt idx="350">
                        <c:v>3.8997213500000001</c:v>
                      </c:pt>
                      <c:pt idx="351">
                        <c:v>3.9108634109999998</c:v>
                      </c:pt>
                      <c:pt idx="352">
                        <c:v>3.9220054719999999</c:v>
                      </c:pt>
                      <c:pt idx="353">
                        <c:v>3.9331475330000001</c:v>
                      </c:pt>
                      <c:pt idx="354">
                        <c:v>3.9442895939999998</c:v>
                      </c:pt>
                      <c:pt idx="355">
                        <c:v>3.9554316549999999</c:v>
                      </c:pt>
                      <c:pt idx="356">
                        <c:v>3.9665737160000001</c:v>
                      </c:pt>
                      <c:pt idx="357">
                        <c:v>3.9777157769999998</c:v>
                      </c:pt>
                      <c:pt idx="358">
                        <c:v>3.9888578379999999</c:v>
                      </c:pt>
                      <c:pt idx="359">
                        <c:v>3.9999998990000001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Analysis'!$C$2:$C$361</c15:sqref>
                        </c15:formulaRef>
                      </c:ext>
                    </c:extLst>
                    <c:numCache>
                      <c:formatCode>General</c:formatCode>
                      <c:ptCount val="360"/>
                      <c:pt idx="0">
                        <c:v>0.7823</c:v>
                      </c:pt>
                      <c:pt idx="1">
                        <c:v>0.7843</c:v>
                      </c:pt>
                      <c:pt idx="2">
                        <c:v>0.78549999999999998</c:v>
                      </c:pt>
                      <c:pt idx="3">
                        <c:v>0.78610000000000002</c:v>
                      </c:pt>
                      <c:pt idx="4">
                        <c:v>0.78600000000000003</c:v>
                      </c:pt>
                      <c:pt idx="5">
                        <c:v>0.78520000000000001</c:v>
                      </c:pt>
                      <c:pt idx="6">
                        <c:v>0.78380000000000005</c:v>
                      </c:pt>
                      <c:pt idx="7">
                        <c:v>0.78169999999999995</c:v>
                      </c:pt>
                      <c:pt idx="8">
                        <c:v>0.77910000000000001</c:v>
                      </c:pt>
                      <c:pt idx="9">
                        <c:v>0.77590000000000003</c:v>
                      </c:pt>
                      <c:pt idx="10">
                        <c:v>0.77200000000000002</c:v>
                      </c:pt>
                      <c:pt idx="11">
                        <c:v>0.76770000000000005</c:v>
                      </c:pt>
                      <c:pt idx="12">
                        <c:v>0.76290000000000002</c:v>
                      </c:pt>
                      <c:pt idx="13">
                        <c:v>0.75749999999999995</c:v>
                      </c:pt>
                      <c:pt idx="14">
                        <c:v>0.75180000000000002</c:v>
                      </c:pt>
                      <c:pt idx="15">
                        <c:v>0.74560000000000004</c:v>
                      </c:pt>
                      <c:pt idx="16">
                        <c:v>0.7389</c:v>
                      </c:pt>
                      <c:pt idx="17">
                        <c:v>0.7319</c:v>
                      </c:pt>
                      <c:pt idx="18">
                        <c:v>0.72460000000000002</c:v>
                      </c:pt>
                      <c:pt idx="19">
                        <c:v>0.71689999999999998</c:v>
                      </c:pt>
                      <c:pt idx="20">
                        <c:v>0.70889999999999997</c:v>
                      </c:pt>
                      <c:pt idx="21">
                        <c:v>0.7006</c:v>
                      </c:pt>
                      <c:pt idx="22">
                        <c:v>0.69210000000000005</c:v>
                      </c:pt>
                      <c:pt idx="23">
                        <c:v>0.68330000000000002</c:v>
                      </c:pt>
                      <c:pt idx="24">
                        <c:v>0.6744</c:v>
                      </c:pt>
                      <c:pt idx="25">
                        <c:v>0.66520000000000001</c:v>
                      </c:pt>
                      <c:pt idx="26">
                        <c:v>0.65590000000000004</c:v>
                      </c:pt>
                      <c:pt idx="27">
                        <c:v>0.64649999999999996</c:v>
                      </c:pt>
                      <c:pt idx="28">
                        <c:v>0.63690000000000002</c:v>
                      </c:pt>
                      <c:pt idx="29">
                        <c:v>0.62719999999999998</c:v>
                      </c:pt>
                      <c:pt idx="30">
                        <c:v>0.61750000000000005</c:v>
                      </c:pt>
                      <c:pt idx="31">
                        <c:v>0.60770000000000002</c:v>
                      </c:pt>
                      <c:pt idx="32">
                        <c:v>0.5978</c:v>
                      </c:pt>
                      <c:pt idx="33">
                        <c:v>0.58789999999999998</c:v>
                      </c:pt>
                      <c:pt idx="34">
                        <c:v>0.57799999999999996</c:v>
                      </c:pt>
                      <c:pt idx="35">
                        <c:v>0.56810000000000005</c:v>
                      </c:pt>
                      <c:pt idx="36">
                        <c:v>0.55820000000000003</c:v>
                      </c:pt>
                      <c:pt idx="37">
                        <c:v>0.54830000000000001</c:v>
                      </c:pt>
                      <c:pt idx="38">
                        <c:v>0.53849999999999998</c:v>
                      </c:pt>
                      <c:pt idx="39">
                        <c:v>0.52859999999999996</c:v>
                      </c:pt>
                      <c:pt idx="40">
                        <c:v>0.51890000000000003</c:v>
                      </c:pt>
                      <c:pt idx="41">
                        <c:v>0.50919999999999999</c:v>
                      </c:pt>
                      <c:pt idx="42">
                        <c:v>0.4995</c:v>
                      </c:pt>
                      <c:pt idx="43">
                        <c:v>0.4899</c:v>
                      </c:pt>
                      <c:pt idx="44">
                        <c:v>0.48049999999999998</c:v>
                      </c:pt>
                      <c:pt idx="45">
                        <c:v>0.47099999999999997</c:v>
                      </c:pt>
                      <c:pt idx="46">
                        <c:v>0.4617</c:v>
                      </c:pt>
                      <c:pt idx="47">
                        <c:v>0.45250000000000001</c:v>
                      </c:pt>
                      <c:pt idx="48">
                        <c:v>0.44340000000000002</c:v>
                      </c:pt>
                      <c:pt idx="49">
                        <c:v>0.43430000000000002</c:v>
                      </c:pt>
                      <c:pt idx="50">
                        <c:v>0.4254</c:v>
                      </c:pt>
                      <c:pt idx="51">
                        <c:v>0.41660000000000003</c:v>
                      </c:pt>
                      <c:pt idx="52">
                        <c:v>0.40789999999999998</c:v>
                      </c:pt>
                      <c:pt idx="53">
                        <c:v>0.39929999999999999</c:v>
                      </c:pt>
                      <c:pt idx="54">
                        <c:v>0.39079999999999998</c:v>
                      </c:pt>
                      <c:pt idx="55">
                        <c:v>0.38240000000000002</c:v>
                      </c:pt>
                      <c:pt idx="56">
                        <c:v>0.37409999999999999</c:v>
                      </c:pt>
                      <c:pt idx="57">
                        <c:v>0.3659</c:v>
                      </c:pt>
                      <c:pt idx="58">
                        <c:v>0.35780000000000001</c:v>
                      </c:pt>
                      <c:pt idx="59">
                        <c:v>0.34989999999999999</c:v>
                      </c:pt>
                      <c:pt idx="60">
                        <c:v>0.34200000000000003</c:v>
                      </c:pt>
                      <c:pt idx="61">
                        <c:v>0.33429999999999999</c:v>
                      </c:pt>
                      <c:pt idx="62">
                        <c:v>0.32669999999999999</c:v>
                      </c:pt>
                      <c:pt idx="63">
                        <c:v>0.31919999999999998</c:v>
                      </c:pt>
                      <c:pt idx="64">
                        <c:v>0.31180000000000002</c:v>
                      </c:pt>
                      <c:pt idx="65">
                        <c:v>0.30449999999999999</c:v>
                      </c:pt>
                      <c:pt idx="66">
                        <c:v>0.29730000000000001</c:v>
                      </c:pt>
                      <c:pt idx="67">
                        <c:v>0.29010000000000002</c:v>
                      </c:pt>
                      <c:pt idx="68">
                        <c:v>0.28310000000000002</c:v>
                      </c:pt>
                      <c:pt idx="69">
                        <c:v>0.2762</c:v>
                      </c:pt>
                      <c:pt idx="70">
                        <c:v>0.26939999999999997</c:v>
                      </c:pt>
                      <c:pt idx="71">
                        <c:v>0.2626</c:v>
                      </c:pt>
                      <c:pt idx="72">
                        <c:v>0.25600000000000001</c:v>
                      </c:pt>
                      <c:pt idx="73">
                        <c:v>0.24940000000000001</c:v>
                      </c:pt>
                      <c:pt idx="74">
                        <c:v>0.24299999999999999</c:v>
                      </c:pt>
                      <c:pt idx="75">
                        <c:v>0.2366</c:v>
                      </c:pt>
                      <c:pt idx="76">
                        <c:v>0.2303</c:v>
                      </c:pt>
                      <c:pt idx="77">
                        <c:v>0.224</c:v>
                      </c:pt>
                      <c:pt idx="78">
                        <c:v>0.21779999999999999</c:v>
                      </c:pt>
                      <c:pt idx="79">
                        <c:v>0.2117</c:v>
                      </c:pt>
                      <c:pt idx="80">
                        <c:v>0.20569999999999999</c:v>
                      </c:pt>
                      <c:pt idx="81">
                        <c:v>0.19969999999999999</c:v>
                      </c:pt>
                      <c:pt idx="82">
                        <c:v>0.1938</c:v>
                      </c:pt>
                      <c:pt idx="83">
                        <c:v>0.188</c:v>
                      </c:pt>
                      <c:pt idx="84">
                        <c:v>0.1822</c:v>
                      </c:pt>
                      <c:pt idx="85">
                        <c:v>0.17649999999999999</c:v>
                      </c:pt>
                      <c:pt idx="86">
                        <c:v>0.1709</c:v>
                      </c:pt>
                      <c:pt idx="87">
                        <c:v>0.1653</c:v>
                      </c:pt>
                      <c:pt idx="88">
                        <c:v>0.15970000000000001</c:v>
                      </c:pt>
                      <c:pt idx="89">
                        <c:v>0.1542</c:v>
                      </c:pt>
                      <c:pt idx="90">
                        <c:v>0.1487</c:v>
                      </c:pt>
                      <c:pt idx="91">
                        <c:v>0.14330000000000001</c:v>
                      </c:pt>
                      <c:pt idx="92">
                        <c:v>0.13789999999999999</c:v>
                      </c:pt>
                      <c:pt idx="93">
                        <c:v>0.1326</c:v>
                      </c:pt>
                      <c:pt idx="94">
                        <c:v>0.12720000000000001</c:v>
                      </c:pt>
                      <c:pt idx="95">
                        <c:v>0.122</c:v>
                      </c:pt>
                      <c:pt idx="96">
                        <c:v>0.1167</c:v>
                      </c:pt>
                      <c:pt idx="97">
                        <c:v>0.1115</c:v>
                      </c:pt>
                      <c:pt idx="98">
                        <c:v>0.10630000000000001</c:v>
                      </c:pt>
                      <c:pt idx="99">
                        <c:v>0.1011</c:v>
                      </c:pt>
                      <c:pt idx="100">
                        <c:v>9.5899999999999999E-2</c:v>
                      </c:pt>
                      <c:pt idx="101">
                        <c:v>9.0800000000000006E-2</c:v>
                      </c:pt>
                      <c:pt idx="102">
                        <c:v>8.5699999999999998E-2</c:v>
                      </c:pt>
                      <c:pt idx="103">
                        <c:v>8.0500000000000002E-2</c:v>
                      </c:pt>
                      <c:pt idx="104">
                        <c:v>7.5399999999999995E-2</c:v>
                      </c:pt>
                      <c:pt idx="105">
                        <c:v>7.0300000000000001E-2</c:v>
                      </c:pt>
                      <c:pt idx="106">
                        <c:v>6.5199999999999994E-2</c:v>
                      </c:pt>
                      <c:pt idx="107">
                        <c:v>6.0100000000000001E-2</c:v>
                      </c:pt>
                      <c:pt idx="108">
                        <c:v>5.5100000000000003E-2</c:v>
                      </c:pt>
                      <c:pt idx="109">
                        <c:v>0.05</c:v>
                      </c:pt>
                      <c:pt idx="110">
                        <c:v>4.4900000000000002E-2</c:v>
                      </c:pt>
                      <c:pt idx="111">
                        <c:v>3.9800000000000002E-2</c:v>
                      </c:pt>
                      <c:pt idx="112">
                        <c:v>3.4700000000000002E-2</c:v>
                      </c:pt>
                      <c:pt idx="113">
                        <c:v>2.9600000000000001E-2</c:v>
                      </c:pt>
                      <c:pt idx="114">
                        <c:v>2.4500000000000001E-2</c:v>
                      </c:pt>
                      <c:pt idx="115">
                        <c:v>1.9300000000000001E-2</c:v>
                      </c:pt>
                      <c:pt idx="116">
                        <c:v>1.4200000000000001E-2</c:v>
                      </c:pt>
                      <c:pt idx="117">
                        <c:v>8.9999999999999993E-3</c:v>
                      </c:pt>
                      <c:pt idx="118">
                        <c:v>3.8E-3</c:v>
                      </c:pt>
                      <c:pt idx="119">
                        <c:v>-1.4E-3</c:v>
                      </c:pt>
                      <c:pt idx="120">
                        <c:v>-6.6E-3</c:v>
                      </c:pt>
                      <c:pt idx="121">
                        <c:v>-1.1900000000000001E-2</c:v>
                      </c:pt>
                      <c:pt idx="122">
                        <c:v>-1.72E-2</c:v>
                      </c:pt>
                      <c:pt idx="123">
                        <c:v>-2.2499999999999999E-2</c:v>
                      </c:pt>
                      <c:pt idx="124">
                        <c:v>-2.7799999999999998E-2</c:v>
                      </c:pt>
                      <c:pt idx="125">
                        <c:v>-3.32E-2</c:v>
                      </c:pt>
                      <c:pt idx="126">
                        <c:v>-3.8600000000000002E-2</c:v>
                      </c:pt>
                      <c:pt idx="127">
                        <c:v>-4.41E-2</c:v>
                      </c:pt>
                      <c:pt idx="128">
                        <c:v>-4.9500000000000002E-2</c:v>
                      </c:pt>
                      <c:pt idx="129">
                        <c:v>-5.5100000000000003E-2</c:v>
                      </c:pt>
                      <c:pt idx="130">
                        <c:v>-6.0600000000000001E-2</c:v>
                      </c:pt>
                      <c:pt idx="131">
                        <c:v>-6.6199999999999995E-2</c:v>
                      </c:pt>
                      <c:pt idx="132">
                        <c:v>-7.1900000000000006E-2</c:v>
                      </c:pt>
                      <c:pt idx="133">
                        <c:v>-7.7600000000000002E-2</c:v>
                      </c:pt>
                      <c:pt idx="134">
                        <c:v>-8.3299999999999999E-2</c:v>
                      </c:pt>
                      <c:pt idx="135">
                        <c:v>-8.9099999999999999E-2</c:v>
                      </c:pt>
                      <c:pt idx="136">
                        <c:v>-9.4899999999999998E-2</c:v>
                      </c:pt>
                      <c:pt idx="137">
                        <c:v>-0.1008</c:v>
                      </c:pt>
                      <c:pt idx="138">
                        <c:v>-0.1067</c:v>
                      </c:pt>
                      <c:pt idx="139">
                        <c:v>-0.11269999999999999</c:v>
                      </c:pt>
                      <c:pt idx="140">
                        <c:v>-0.1187</c:v>
                      </c:pt>
                      <c:pt idx="141">
                        <c:v>-0.12479999999999999</c:v>
                      </c:pt>
                      <c:pt idx="142">
                        <c:v>-0.13089999999999999</c:v>
                      </c:pt>
                      <c:pt idx="143">
                        <c:v>-0.1371</c:v>
                      </c:pt>
                      <c:pt idx="144">
                        <c:v>-0.14330000000000001</c:v>
                      </c:pt>
                      <c:pt idx="145">
                        <c:v>-0.14960000000000001</c:v>
                      </c:pt>
                      <c:pt idx="146">
                        <c:v>-0.156</c:v>
                      </c:pt>
                      <c:pt idx="147">
                        <c:v>-0.16239999999999999</c:v>
                      </c:pt>
                      <c:pt idx="148">
                        <c:v>-0.16880000000000001</c:v>
                      </c:pt>
                      <c:pt idx="149">
                        <c:v>-0.17530000000000001</c:v>
                      </c:pt>
                      <c:pt idx="150">
                        <c:v>-0.18190000000000001</c:v>
                      </c:pt>
                      <c:pt idx="151">
                        <c:v>-0.18840000000000001</c:v>
                      </c:pt>
                      <c:pt idx="152">
                        <c:v>-0.1951</c:v>
                      </c:pt>
                      <c:pt idx="153">
                        <c:v>-0.20180000000000001</c:v>
                      </c:pt>
                      <c:pt idx="154">
                        <c:v>-0.20849999999999999</c:v>
                      </c:pt>
                      <c:pt idx="155">
                        <c:v>-0.21529999999999999</c:v>
                      </c:pt>
                      <c:pt idx="156">
                        <c:v>-0.22209999999999999</c:v>
                      </c:pt>
                      <c:pt idx="157">
                        <c:v>-0.22900000000000001</c:v>
                      </c:pt>
                      <c:pt idx="158">
                        <c:v>-0.2359</c:v>
                      </c:pt>
                      <c:pt idx="159">
                        <c:v>-0.24279999999999999</c:v>
                      </c:pt>
                      <c:pt idx="160">
                        <c:v>-0.24979999999999999</c:v>
                      </c:pt>
                      <c:pt idx="161">
                        <c:v>-0.25679999999999997</c:v>
                      </c:pt>
                      <c:pt idx="162">
                        <c:v>-0.26379999999999998</c:v>
                      </c:pt>
                      <c:pt idx="163">
                        <c:v>-0.27089999999999997</c:v>
                      </c:pt>
                      <c:pt idx="164">
                        <c:v>-0.27800000000000002</c:v>
                      </c:pt>
                      <c:pt idx="165">
                        <c:v>-0.28510000000000002</c:v>
                      </c:pt>
                      <c:pt idx="166">
                        <c:v>-0.2923</c:v>
                      </c:pt>
                      <c:pt idx="167">
                        <c:v>-0.2994</c:v>
                      </c:pt>
                      <c:pt idx="168">
                        <c:v>-0.30659999999999998</c:v>
                      </c:pt>
                      <c:pt idx="169">
                        <c:v>-0.31369999999999998</c:v>
                      </c:pt>
                      <c:pt idx="170">
                        <c:v>-0.32090000000000002</c:v>
                      </c:pt>
                      <c:pt idx="171">
                        <c:v>-0.3281</c:v>
                      </c:pt>
                      <c:pt idx="172">
                        <c:v>-0.33529999999999999</c:v>
                      </c:pt>
                      <c:pt idx="173">
                        <c:v>-0.34239999999999998</c:v>
                      </c:pt>
                      <c:pt idx="174">
                        <c:v>-0.34960000000000002</c:v>
                      </c:pt>
                      <c:pt idx="175">
                        <c:v>-0.35670000000000002</c:v>
                      </c:pt>
                      <c:pt idx="176">
                        <c:v>-0.36380000000000001</c:v>
                      </c:pt>
                      <c:pt idx="177">
                        <c:v>-0.37090000000000001</c:v>
                      </c:pt>
                      <c:pt idx="178">
                        <c:v>-0.378</c:v>
                      </c:pt>
                      <c:pt idx="179">
                        <c:v>-0.38500000000000001</c:v>
                      </c:pt>
                      <c:pt idx="180">
                        <c:v>-0.39200000000000002</c:v>
                      </c:pt>
                      <c:pt idx="181">
                        <c:v>-0.39889999999999998</c:v>
                      </c:pt>
                      <c:pt idx="182">
                        <c:v>-0.40579999999999999</c:v>
                      </c:pt>
                      <c:pt idx="183">
                        <c:v>-0.41260000000000002</c:v>
                      </c:pt>
                      <c:pt idx="184">
                        <c:v>-0.4194</c:v>
                      </c:pt>
                      <c:pt idx="185">
                        <c:v>-0.42609999999999998</c:v>
                      </c:pt>
                      <c:pt idx="186">
                        <c:v>-0.43269999999999997</c:v>
                      </c:pt>
                      <c:pt idx="187">
                        <c:v>-0.43930000000000002</c:v>
                      </c:pt>
                      <c:pt idx="188">
                        <c:v>-0.44579999999999997</c:v>
                      </c:pt>
                      <c:pt idx="189">
                        <c:v>-0.45219999999999999</c:v>
                      </c:pt>
                      <c:pt idx="190">
                        <c:v>-0.45850000000000002</c:v>
                      </c:pt>
                      <c:pt idx="191">
                        <c:v>-0.4647</c:v>
                      </c:pt>
                      <c:pt idx="192">
                        <c:v>-0.4708</c:v>
                      </c:pt>
                      <c:pt idx="193">
                        <c:v>-0.47689999999999999</c:v>
                      </c:pt>
                      <c:pt idx="194">
                        <c:v>-0.48280000000000001</c:v>
                      </c:pt>
                      <c:pt idx="195">
                        <c:v>-0.48859999999999998</c:v>
                      </c:pt>
                      <c:pt idx="196">
                        <c:v>-0.49430000000000002</c:v>
                      </c:pt>
                      <c:pt idx="197">
                        <c:v>-0.49990000000000001</c:v>
                      </c:pt>
                      <c:pt idx="198">
                        <c:v>-0.50539999999999996</c:v>
                      </c:pt>
                      <c:pt idx="199">
                        <c:v>-0.51070000000000004</c:v>
                      </c:pt>
                      <c:pt idx="200">
                        <c:v>-0.51590000000000003</c:v>
                      </c:pt>
                      <c:pt idx="201">
                        <c:v>-0.52100000000000002</c:v>
                      </c:pt>
                      <c:pt idx="202">
                        <c:v>-0.52600000000000002</c:v>
                      </c:pt>
                      <c:pt idx="203">
                        <c:v>-0.53080000000000005</c:v>
                      </c:pt>
                      <c:pt idx="204">
                        <c:v>-0.53549999999999998</c:v>
                      </c:pt>
                      <c:pt idx="205">
                        <c:v>-0.54010000000000002</c:v>
                      </c:pt>
                      <c:pt idx="206">
                        <c:v>-0.54449999999999998</c:v>
                      </c:pt>
                      <c:pt idx="207">
                        <c:v>-0.54869999999999997</c:v>
                      </c:pt>
                      <c:pt idx="208">
                        <c:v>-0.55279999999999996</c:v>
                      </c:pt>
                      <c:pt idx="209">
                        <c:v>-0.55679999999999996</c:v>
                      </c:pt>
                      <c:pt idx="210">
                        <c:v>-0.56059999999999999</c:v>
                      </c:pt>
                      <c:pt idx="211">
                        <c:v>-0.56420000000000003</c:v>
                      </c:pt>
                      <c:pt idx="212">
                        <c:v>-0.56769999999999998</c:v>
                      </c:pt>
                      <c:pt idx="213">
                        <c:v>-0.57099999999999995</c:v>
                      </c:pt>
                      <c:pt idx="214">
                        <c:v>-0.57420000000000004</c:v>
                      </c:pt>
                      <c:pt idx="215">
                        <c:v>-0.57720000000000005</c:v>
                      </c:pt>
                      <c:pt idx="216">
                        <c:v>-0.57999999999999996</c:v>
                      </c:pt>
                      <c:pt idx="217">
                        <c:v>-0.5827</c:v>
                      </c:pt>
                      <c:pt idx="218">
                        <c:v>-0.58520000000000005</c:v>
                      </c:pt>
                      <c:pt idx="219">
                        <c:v>-0.58750000000000002</c:v>
                      </c:pt>
                      <c:pt idx="220">
                        <c:v>-0.5897</c:v>
                      </c:pt>
                      <c:pt idx="221">
                        <c:v>-0.5917</c:v>
                      </c:pt>
                      <c:pt idx="222">
                        <c:v>-0.59350000000000003</c:v>
                      </c:pt>
                      <c:pt idx="223">
                        <c:v>-0.59509999999999996</c:v>
                      </c:pt>
                      <c:pt idx="224">
                        <c:v>-0.59660000000000002</c:v>
                      </c:pt>
                      <c:pt idx="225">
                        <c:v>-0.59789999999999999</c:v>
                      </c:pt>
                      <c:pt idx="226">
                        <c:v>-0.59909999999999997</c:v>
                      </c:pt>
                      <c:pt idx="227">
                        <c:v>-0.6</c:v>
                      </c:pt>
                      <c:pt idx="228">
                        <c:v>-0.6008</c:v>
                      </c:pt>
                      <c:pt idx="229">
                        <c:v>-0.60129999999999995</c:v>
                      </c:pt>
                      <c:pt idx="230">
                        <c:v>-0.60170000000000001</c:v>
                      </c:pt>
                      <c:pt idx="231">
                        <c:v>-0.60199999999999998</c:v>
                      </c:pt>
                      <c:pt idx="232">
                        <c:v>-0.60209999999999997</c:v>
                      </c:pt>
                      <c:pt idx="233">
                        <c:v>-0.60199999999999998</c:v>
                      </c:pt>
                      <c:pt idx="234">
                        <c:v>-0.60160000000000002</c:v>
                      </c:pt>
                      <c:pt idx="235">
                        <c:v>-0.60109999999999997</c:v>
                      </c:pt>
                      <c:pt idx="236">
                        <c:v>-0.60050000000000003</c:v>
                      </c:pt>
                      <c:pt idx="237">
                        <c:v>-0.59960000000000002</c:v>
                      </c:pt>
                      <c:pt idx="238">
                        <c:v>-0.59860000000000002</c:v>
                      </c:pt>
                      <c:pt idx="239">
                        <c:v>-0.59740000000000004</c:v>
                      </c:pt>
                      <c:pt idx="240">
                        <c:v>-0.59589999999999999</c:v>
                      </c:pt>
                      <c:pt idx="241">
                        <c:v>-0.59430000000000005</c:v>
                      </c:pt>
                      <c:pt idx="242">
                        <c:v>-0.59260000000000002</c:v>
                      </c:pt>
                      <c:pt idx="243">
                        <c:v>-0.59060000000000001</c:v>
                      </c:pt>
                      <c:pt idx="244">
                        <c:v>-0.58840000000000003</c:v>
                      </c:pt>
                      <c:pt idx="245">
                        <c:v>-0.58609999999999995</c:v>
                      </c:pt>
                      <c:pt idx="246">
                        <c:v>-0.58350000000000002</c:v>
                      </c:pt>
                      <c:pt idx="247">
                        <c:v>-0.58079999999999998</c:v>
                      </c:pt>
                      <c:pt idx="248">
                        <c:v>-0.57789999999999997</c:v>
                      </c:pt>
                      <c:pt idx="249">
                        <c:v>-0.57469999999999999</c:v>
                      </c:pt>
                      <c:pt idx="250">
                        <c:v>-0.57140000000000002</c:v>
                      </c:pt>
                      <c:pt idx="251">
                        <c:v>-0.56789999999999996</c:v>
                      </c:pt>
                      <c:pt idx="252">
                        <c:v>-0.56420000000000003</c:v>
                      </c:pt>
                      <c:pt idx="253">
                        <c:v>-0.56030000000000002</c:v>
                      </c:pt>
                      <c:pt idx="254">
                        <c:v>-0.55610000000000004</c:v>
                      </c:pt>
                      <c:pt idx="255">
                        <c:v>-0.55179999999999996</c:v>
                      </c:pt>
                      <c:pt idx="256">
                        <c:v>-0.54730000000000001</c:v>
                      </c:pt>
                      <c:pt idx="257">
                        <c:v>-0.54259999999999997</c:v>
                      </c:pt>
                      <c:pt idx="258">
                        <c:v>-0.53759999999999997</c:v>
                      </c:pt>
                      <c:pt idx="259">
                        <c:v>-0.53239999999999998</c:v>
                      </c:pt>
                      <c:pt idx="260">
                        <c:v>-0.52710000000000001</c:v>
                      </c:pt>
                      <c:pt idx="261">
                        <c:v>-0.52149999999999996</c:v>
                      </c:pt>
                      <c:pt idx="262">
                        <c:v>-0.51570000000000005</c:v>
                      </c:pt>
                      <c:pt idx="263">
                        <c:v>-0.50970000000000004</c:v>
                      </c:pt>
                      <c:pt idx="264">
                        <c:v>-0.50349999999999995</c:v>
                      </c:pt>
                      <c:pt idx="265">
                        <c:v>-0.497</c:v>
                      </c:pt>
                      <c:pt idx="266">
                        <c:v>-0.49030000000000001</c:v>
                      </c:pt>
                      <c:pt idx="267">
                        <c:v>-0.4834</c:v>
                      </c:pt>
                      <c:pt idx="268">
                        <c:v>-0.4763</c:v>
                      </c:pt>
                      <c:pt idx="269">
                        <c:v>-0.46899999999999997</c:v>
                      </c:pt>
                      <c:pt idx="270">
                        <c:v>-0.46139999999999998</c:v>
                      </c:pt>
                      <c:pt idx="271">
                        <c:v>-0.4536</c:v>
                      </c:pt>
                      <c:pt idx="272">
                        <c:v>-0.44550000000000001</c:v>
                      </c:pt>
                      <c:pt idx="273">
                        <c:v>-0.43719999999999998</c:v>
                      </c:pt>
                      <c:pt idx="274">
                        <c:v>-0.42870000000000003</c:v>
                      </c:pt>
                      <c:pt idx="275">
                        <c:v>-0.42</c:v>
                      </c:pt>
                      <c:pt idx="276">
                        <c:v>-0.41099999999999998</c:v>
                      </c:pt>
                      <c:pt idx="277">
                        <c:v>-0.4017</c:v>
                      </c:pt>
                      <c:pt idx="278">
                        <c:v>-0.39219999999999999</c:v>
                      </c:pt>
                      <c:pt idx="279">
                        <c:v>-0.38240000000000002</c:v>
                      </c:pt>
                      <c:pt idx="280">
                        <c:v>-0.37240000000000001</c:v>
                      </c:pt>
                      <c:pt idx="281">
                        <c:v>-0.36220000000000002</c:v>
                      </c:pt>
                      <c:pt idx="282">
                        <c:v>-0.35160000000000002</c:v>
                      </c:pt>
                      <c:pt idx="283">
                        <c:v>-0.34079999999999999</c:v>
                      </c:pt>
                      <c:pt idx="284">
                        <c:v>-0.32979999999999998</c:v>
                      </c:pt>
                      <c:pt idx="285">
                        <c:v>-0.31850000000000001</c:v>
                      </c:pt>
                      <c:pt idx="286">
                        <c:v>-0.30690000000000001</c:v>
                      </c:pt>
                      <c:pt idx="287">
                        <c:v>-0.29509999999999997</c:v>
                      </c:pt>
                      <c:pt idx="288">
                        <c:v>-0.28310000000000002</c:v>
                      </c:pt>
                      <c:pt idx="289">
                        <c:v>-0.2707</c:v>
                      </c:pt>
                      <c:pt idx="290">
                        <c:v>-0.2581</c:v>
                      </c:pt>
                      <c:pt idx="291">
                        <c:v>-0.2452</c:v>
                      </c:pt>
                      <c:pt idx="292">
                        <c:v>-0.23200000000000001</c:v>
                      </c:pt>
                      <c:pt idx="293">
                        <c:v>-0.21859999999999999</c:v>
                      </c:pt>
                      <c:pt idx="294">
                        <c:v>-0.2049</c:v>
                      </c:pt>
                      <c:pt idx="295">
                        <c:v>-0.191</c:v>
                      </c:pt>
                      <c:pt idx="296">
                        <c:v>-0.1767</c:v>
                      </c:pt>
                      <c:pt idx="297">
                        <c:v>-0.16220000000000001</c:v>
                      </c:pt>
                      <c:pt idx="298">
                        <c:v>-0.14749999999999999</c:v>
                      </c:pt>
                      <c:pt idx="299">
                        <c:v>-0.13239999999999999</c:v>
                      </c:pt>
                      <c:pt idx="300">
                        <c:v>-0.1171</c:v>
                      </c:pt>
                      <c:pt idx="301">
                        <c:v>-0.1016</c:v>
                      </c:pt>
                      <c:pt idx="302">
                        <c:v>-8.5800000000000001E-2</c:v>
                      </c:pt>
                      <c:pt idx="303">
                        <c:v>-6.9699999999999998E-2</c:v>
                      </c:pt>
                      <c:pt idx="304">
                        <c:v>-5.3499999999999999E-2</c:v>
                      </c:pt>
                      <c:pt idx="305">
                        <c:v>-3.6900000000000002E-2</c:v>
                      </c:pt>
                      <c:pt idx="306">
                        <c:v>-2.01E-2</c:v>
                      </c:pt>
                      <c:pt idx="307">
                        <c:v>-3.2000000000000002E-3</c:v>
                      </c:pt>
                      <c:pt idx="308">
                        <c:v>1.41E-2</c:v>
                      </c:pt>
                      <c:pt idx="309">
                        <c:v>3.15E-2</c:v>
                      </c:pt>
                      <c:pt idx="310">
                        <c:v>4.9099999999999998E-2</c:v>
                      </c:pt>
                      <c:pt idx="311">
                        <c:v>6.7000000000000004E-2</c:v>
                      </c:pt>
                      <c:pt idx="312">
                        <c:v>8.5099999999999995E-2</c:v>
                      </c:pt>
                      <c:pt idx="313">
                        <c:v>0.1032</c:v>
                      </c:pt>
                      <c:pt idx="314">
                        <c:v>0.1216</c:v>
                      </c:pt>
                      <c:pt idx="315">
                        <c:v>0.14019999999999999</c:v>
                      </c:pt>
                      <c:pt idx="316">
                        <c:v>0.1588</c:v>
                      </c:pt>
                      <c:pt idx="317">
                        <c:v>0.17760000000000001</c:v>
                      </c:pt>
                      <c:pt idx="318">
                        <c:v>0.19650000000000001</c:v>
                      </c:pt>
                      <c:pt idx="319">
                        <c:v>0.2155</c:v>
                      </c:pt>
                      <c:pt idx="320">
                        <c:v>0.2346</c:v>
                      </c:pt>
                      <c:pt idx="321">
                        <c:v>0.25369999999999998</c:v>
                      </c:pt>
                      <c:pt idx="322">
                        <c:v>0.27279999999999999</c:v>
                      </c:pt>
                      <c:pt idx="323">
                        <c:v>0.29199999999999998</c:v>
                      </c:pt>
                      <c:pt idx="324">
                        <c:v>0.31119999999999998</c:v>
                      </c:pt>
                      <c:pt idx="325">
                        <c:v>0.33040000000000003</c:v>
                      </c:pt>
                      <c:pt idx="326">
                        <c:v>0.34949999999999998</c:v>
                      </c:pt>
                      <c:pt idx="327">
                        <c:v>0.36849999999999999</c:v>
                      </c:pt>
                      <c:pt idx="328">
                        <c:v>0.38750000000000001</c:v>
                      </c:pt>
                      <c:pt idx="329">
                        <c:v>0.40629999999999999</c:v>
                      </c:pt>
                      <c:pt idx="330">
                        <c:v>0.42499999999999999</c:v>
                      </c:pt>
                      <c:pt idx="331">
                        <c:v>0.44340000000000002</c:v>
                      </c:pt>
                      <c:pt idx="332">
                        <c:v>0.4617</c:v>
                      </c:pt>
                      <c:pt idx="333">
                        <c:v>0.4798</c:v>
                      </c:pt>
                      <c:pt idx="334">
                        <c:v>0.4975</c:v>
                      </c:pt>
                      <c:pt idx="335">
                        <c:v>0.51500000000000001</c:v>
                      </c:pt>
                      <c:pt idx="336">
                        <c:v>0.53210000000000002</c:v>
                      </c:pt>
                      <c:pt idx="337">
                        <c:v>0.54890000000000005</c:v>
                      </c:pt>
                      <c:pt idx="338">
                        <c:v>0.56540000000000001</c:v>
                      </c:pt>
                      <c:pt idx="339">
                        <c:v>0.58140000000000003</c:v>
                      </c:pt>
                      <c:pt idx="340">
                        <c:v>0.59699999999999998</c:v>
                      </c:pt>
                      <c:pt idx="341">
                        <c:v>0.61209999999999998</c:v>
                      </c:pt>
                      <c:pt idx="342">
                        <c:v>0.62670000000000003</c:v>
                      </c:pt>
                      <c:pt idx="343">
                        <c:v>0.64080000000000004</c:v>
                      </c:pt>
                      <c:pt idx="344">
                        <c:v>0.65429999999999999</c:v>
                      </c:pt>
                      <c:pt idx="345">
                        <c:v>0.66739999999999999</c:v>
                      </c:pt>
                      <c:pt idx="346">
                        <c:v>0.67979999999999996</c:v>
                      </c:pt>
                      <c:pt idx="347">
                        <c:v>0.69159999999999999</c:v>
                      </c:pt>
                      <c:pt idx="348">
                        <c:v>0.70279999999999998</c:v>
                      </c:pt>
                      <c:pt idx="349">
                        <c:v>0.71330000000000005</c:v>
                      </c:pt>
                      <c:pt idx="350">
                        <c:v>0.72309999999999997</c:v>
                      </c:pt>
                      <c:pt idx="351">
                        <c:v>0.73229999999999995</c:v>
                      </c:pt>
                      <c:pt idx="352">
                        <c:v>0.74070000000000003</c:v>
                      </c:pt>
                      <c:pt idx="353">
                        <c:v>0.74850000000000005</c:v>
                      </c:pt>
                      <c:pt idx="354">
                        <c:v>0.75549999999999995</c:v>
                      </c:pt>
                      <c:pt idx="355">
                        <c:v>0.76170000000000004</c:v>
                      </c:pt>
                      <c:pt idx="356">
                        <c:v>0.76729999999999998</c:v>
                      </c:pt>
                      <c:pt idx="357">
                        <c:v>0.77210000000000001</c:v>
                      </c:pt>
                      <c:pt idx="358">
                        <c:v>0.77629999999999999</c:v>
                      </c:pt>
                      <c:pt idx="359">
                        <c:v>0.77969999999999995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3EB-4296-8EB5-F6D40A7D20FE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"/>
          <c:order val="1"/>
          <c:tx>
            <c:v>Experimental Values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'Data Analysis'!$K$2:$K$201</c:f>
              <c:numCache>
                <c:formatCode>General</c:formatCode>
                <c:ptCount val="200"/>
                <c:pt idx="0">
                  <c:v>0.02</c:v>
                </c:pt>
                <c:pt idx="1">
                  <c:v>0.04</c:v>
                </c:pt>
                <c:pt idx="2">
                  <c:v>5.8999999999999997E-2</c:v>
                </c:pt>
                <c:pt idx="3">
                  <c:v>0.08</c:v>
                </c:pt>
                <c:pt idx="4">
                  <c:v>9.9000000000000005E-2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0.39900000000000008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0.69900000000000029</c:v>
                </c:pt>
                <c:pt idx="35">
                  <c:v>0.72000000000000031</c:v>
                </c:pt>
                <c:pt idx="36">
                  <c:v>0.73900000000000032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1.0390000000000004</c:v>
                </c:pt>
                <c:pt idx="52">
                  <c:v>1.0600000000000003</c:v>
                </c:pt>
                <c:pt idx="53">
                  <c:v>1.0800000000000003</c:v>
                </c:pt>
                <c:pt idx="54">
                  <c:v>1.1000000000000003</c:v>
                </c:pt>
                <c:pt idx="55">
                  <c:v>1.1200000000000003</c:v>
                </c:pt>
                <c:pt idx="56">
                  <c:v>1.1400000000000003</c:v>
                </c:pt>
                <c:pt idx="57">
                  <c:v>1.1600000000000004</c:v>
                </c:pt>
                <c:pt idx="58">
                  <c:v>1.1800000000000004</c:v>
                </c:pt>
                <c:pt idx="59">
                  <c:v>1.2000000000000004</c:v>
                </c:pt>
                <c:pt idx="60">
                  <c:v>1.2200000000000004</c:v>
                </c:pt>
                <c:pt idx="61">
                  <c:v>1.2400000000000004</c:v>
                </c:pt>
                <c:pt idx="62">
                  <c:v>1.2600000000000005</c:v>
                </c:pt>
                <c:pt idx="63">
                  <c:v>1.2800000000000005</c:v>
                </c:pt>
                <c:pt idx="64">
                  <c:v>1.3000000000000005</c:v>
                </c:pt>
                <c:pt idx="65">
                  <c:v>1.3200000000000005</c:v>
                </c:pt>
                <c:pt idx="66">
                  <c:v>1.3390000000000004</c:v>
                </c:pt>
                <c:pt idx="67">
                  <c:v>1.3600000000000003</c:v>
                </c:pt>
                <c:pt idx="68">
                  <c:v>1.3800000000000003</c:v>
                </c:pt>
                <c:pt idx="69">
                  <c:v>1.4000000000000004</c:v>
                </c:pt>
                <c:pt idx="70">
                  <c:v>1.4200000000000004</c:v>
                </c:pt>
                <c:pt idx="71">
                  <c:v>1.4400000000000004</c:v>
                </c:pt>
                <c:pt idx="72">
                  <c:v>1.4600000000000004</c:v>
                </c:pt>
                <c:pt idx="73">
                  <c:v>1.4800000000000004</c:v>
                </c:pt>
                <c:pt idx="74">
                  <c:v>1.5000000000000004</c:v>
                </c:pt>
                <c:pt idx="75">
                  <c:v>1.5200000000000005</c:v>
                </c:pt>
                <c:pt idx="76">
                  <c:v>1.5400000000000005</c:v>
                </c:pt>
                <c:pt idx="77">
                  <c:v>1.5600000000000005</c:v>
                </c:pt>
                <c:pt idx="78">
                  <c:v>1.5800000000000005</c:v>
                </c:pt>
                <c:pt idx="79">
                  <c:v>1.6000000000000005</c:v>
                </c:pt>
                <c:pt idx="80">
                  <c:v>1.6200000000000006</c:v>
                </c:pt>
                <c:pt idx="81">
                  <c:v>1.6400000000000006</c:v>
                </c:pt>
                <c:pt idx="82">
                  <c:v>1.6600000000000006</c:v>
                </c:pt>
                <c:pt idx="83">
                  <c:v>1.6800000000000006</c:v>
                </c:pt>
                <c:pt idx="84">
                  <c:v>1.7000000000000006</c:v>
                </c:pt>
                <c:pt idx="85">
                  <c:v>1.7200000000000006</c:v>
                </c:pt>
                <c:pt idx="86">
                  <c:v>1.7400000000000007</c:v>
                </c:pt>
                <c:pt idx="87">
                  <c:v>1.7600000000000007</c:v>
                </c:pt>
                <c:pt idx="88">
                  <c:v>1.7800000000000007</c:v>
                </c:pt>
                <c:pt idx="89">
                  <c:v>1.8000000000000007</c:v>
                </c:pt>
                <c:pt idx="90">
                  <c:v>1.8200000000000007</c:v>
                </c:pt>
                <c:pt idx="91">
                  <c:v>1.8400000000000007</c:v>
                </c:pt>
                <c:pt idx="92">
                  <c:v>1.8600000000000008</c:v>
                </c:pt>
                <c:pt idx="93">
                  <c:v>1.8800000000000008</c:v>
                </c:pt>
                <c:pt idx="94">
                  <c:v>1.9000000000000008</c:v>
                </c:pt>
                <c:pt idx="95">
                  <c:v>1.9200000000000008</c:v>
                </c:pt>
                <c:pt idx="96">
                  <c:v>1.9400000000000008</c:v>
                </c:pt>
                <c:pt idx="97">
                  <c:v>1.9600000000000009</c:v>
                </c:pt>
                <c:pt idx="98">
                  <c:v>1.9790000000000008</c:v>
                </c:pt>
                <c:pt idx="99">
                  <c:v>2.0000000000000009</c:v>
                </c:pt>
                <c:pt idx="100">
                  <c:v>2.0200000000000009</c:v>
                </c:pt>
                <c:pt idx="101">
                  <c:v>2.0400000000000009</c:v>
                </c:pt>
                <c:pt idx="102">
                  <c:v>2.0600000000000009</c:v>
                </c:pt>
                <c:pt idx="103">
                  <c:v>2.080000000000001</c:v>
                </c:pt>
                <c:pt idx="104">
                  <c:v>2.100000000000001</c:v>
                </c:pt>
                <c:pt idx="105">
                  <c:v>2.120000000000001</c:v>
                </c:pt>
                <c:pt idx="106">
                  <c:v>2.140000000000001</c:v>
                </c:pt>
                <c:pt idx="107">
                  <c:v>2.160000000000001</c:v>
                </c:pt>
                <c:pt idx="108">
                  <c:v>2.180000000000001</c:v>
                </c:pt>
                <c:pt idx="109">
                  <c:v>2.2000000000000011</c:v>
                </c:pt>
                <c:pt idx="110">
                  <c:v>2.2200000000000011</c:v>
                </c:pt>
                <c:pt idx="111">
                  <c:v>2.2400000000000011</c:v>
                </c:pt>
                <c:pt idx="112">
                  <c:v>2.2600000000000011</c:v>
                </c:pt>
                <c:pt idx="113">
                  <c:v>2.2800000000000011</c:v>
                </c:pt>
                <c:pt idx="114">
                  <c:v>2.3000000000000012</c:v>
                </c:pt>
                <c:pt idx="115">
                  <c:v>2.3200000000000012</c:v>
                </c:pt>
                <c:pt idx="116">
                  <c:v>2.3400000000000012</c:v>
                </c:pt>
                <c:pt idx="117">
                  <c:v>2.3600000000000012</c:v>
                </c:pt>
                <c:pt idx="118">
                  <c:v>2.3800000000000012</c:v>
                </c:pt>
                <c:pt idx="119">
                  <c:v>2.4000000000000012</c:v>
                </c:pt>
                <c:pt idx="120">
                  <c:v>2.4200000000000013</c:v>
                </c:pt>
                <c:pt idx="121">
                  <c:v>2.4400000000000013</c:v>
                </c:pt>
                <c:pt idx="122">
                  <c:v>2.4600000000000013</c:v>
                </c:pt>
                <c:pt idx="123">
                  <c:v>2.4800000000000013</c:v>
                </c:pt>
                <c:pt idx="124">
                  <c:v>2.5000000000000013</c:v>
                </c:pt>
                <c:pt idx="125">
                  <c:v>2.5200000000000014</c:v>
                </c:pt>
                <c:pt idx="126">
                  <c:v>2.5400000000000014</c:v>
                </c:pt>
                <c:pt idx="127">
                  <c:v>2.5600000000000014</c:v>
                </c:pt>
                <c:pt idx="128">
                  <c:v>2.5800000000000014</c:v>
                </c:pt>
                <c:pt idx="129">
                  <c:v>2.6000000000000014</c:v>
                </c:pt>
                <c:pt idx="130">
                  <c:v>2.6210000000000013</c:v>
                </c:pt>
                <c:pt idx="131">
                  <c:v>2.6400000000000015</c:v>
                </c:pt>
                <c:pt idx="132">
                  <c:v>2.6600000000000015</c:v>
                </c:pt>
                <c:pt idx="133">
                  <c:v>2.6800000000000015</c:v>
                </c:pt>
                <c:pt idx="134">
                  <c:v>2.7000000000000015</c:v>
                </c:pt>
                <c:pt idx="135">
                  <c:v>2.7200000000000015</c:v>
                </c:pt>
                <c:pt idx="136">
                  <c:v>2.7400000000000015</c:v>
                </c:pt>
                <c:pt idx="137">
                  <c:v>2.7600000000000016</c:v>
                </c:pt>
                <c:pt idx="138">
                  <c:v>2.7800000000000016</c:v>
                </c:pt>
                <c:pt idx="139">
                  <c:v>2.8000000000000016</c:v>
                </c:pt>
                <c:pt idx="140">
                  <c:v>2.8200000000000016</c:v>
                </c:pt>
                <c:pt idx="141">
                  <c:v>2.8400000000000016</c:v>
                </c:pt>
                <c:pt idx="142">
                  <c:v>2.8600000000000017</c:v>
                </c:pt>
                <c:pt idx="143">
                  <c:v>2.8800000000000017</c:v>
                </c:pt>
                <c:pt idx="144">
                  <c:v>2.9000000000000017</c:v>
                </c:pt>
                <c:pt idx="145">
                  <c:v>2.9200000000000017</c:v>
                </c:pt>
                <c:pt idx="146">
                  <c:v>2.9400000000000017</c:v>
                </c:pt>
                <c:pt idx="147">
                  <c:v>2.9600000000000017</c:v>
                </c:pt>
                <c:pt idx="148">
                  <c:v>2.9800000000000018</c:v>
                </c:pt>
                <c:pt idx="149">
                  <c:v>3.0000000000000018</c:v>
                </c:pt>
                <c:pt idx="150">
                  <c:v>3.0200000000000018</c:v>
                </c:pt>
                <c:pt idx="151">
                  <c:v>3.0400000000000018</c:v>
                </c:pt>
                <c:pt idx="152">
                  <c:v>3.0600000000000018</c:v>
                </c:pt>
                <c:pt idx="153">
                  <c:v>3.0800000000000018</c:v>
                </c:pt>
                <c:pt idx="154">
                  <c:v>3.1000000000000019</c:v>
                </c:pt>
                <c:pt idx="155">
                  <c:v>3.1200000000000019</c:v>
                </c:pt>
                <c:pt idx="156">
                  <c:v>3.1400000000000019</c:v>
                </c:pt>
                <c:pt idx="157">
                  <c:v>3.1600000000000019</c:v>
                </c:pt>
                <c:pt idx="158">
                  <c:v>3.1800000000000019</c:v>
                </c:pt>
                <c:pt idx="159">
                  <c:v>3.200000000000002</c:v>
                </c:pt>
                <c:pt idx="160">
                  <c:v>3.220000000000002</c:v>
                </c:pt>
                <c:pt idx="161">
                  <c:v>3.240000000000002</c:v>
                </c:pt>
                <c:pt idx="162">
                  <c:v>3.2610000000000019</c:v>
                </c:pt>
                <c:pt idx="163">
                  <c:v>3.280000000000002</c:v>
                </c:pt>
                <c:pt idx="164">
                  <c:v>3.300000000000002</c:v>
                </c:pt>
                <c:pt idx="165">
                  <c:v>3.3200000000000021</c:v>
                </c:pt>
                <c:pt idx="166">
                  <c:v>3.3400000000000021</c:v>
                </c:pt>
                <c:pt idx="167">
                  <c:v>3.3600000000000021</c:v>
                </c:pt>
                <c:pt idx="168">
                  <c:v>3.3800000000000021</c:v>
                </c:pt>
                <c:pt idx="169">
                  <c:v>3.4000000000000021</c:v>
                </c:pt>
                <c:pt idx="170">
                  <c:v>3.4200000000000021</c:v>
                </c:pt>
                <c:pt idx="171">
                  <c:v>3.4400000000000022</c:v>
                </c:pt>
                <c:pt idx="172">
                  <c:v>3.4600000000000022</c:v>
                </c:pt>
                <c:pt idx="173">
                  <c:v>3.4800000000000022</c:v>
                </c:pt>
                <c:pt idx="174">
                  <c:v>3.5000000000000022</c:v>
                </c:pt>
                <c:pt idx="175">
                  <c:v>3.5200000000000022</c:v>
                </c:pt>
                <c:pt idx="176">
                  <c:v>3.5400000000000023</c:v>
                </c:pt>
                <c:pt idx="177">
                  <c:v>3.5610000000000022</c:v>
                </c:pt>
                <c:pt idx="178">
                  <c:v>3.5800000000000023</c:v>
                </c:pt>
                <c:pt idx="179">
                  <c:v>3.6000000000000023</c:v>
                </c:pt>
                <c:pt idx="180">
                  <c:v>3.6200000000000023</c:v>
                </c:pt>
                <c:pt idx="181">
                  <c:v>3.6400000000000023</c:v>
                </c:pt>
                <c:pt idx="182">
                  <c:v>3.6600000000000024</c:v>
                </c:pt>
                <c:pt idx="183">
                  <c:v>3.6800000000000024</c:v>
                </c:pt>
                <c:pt idx="184">
                  <c:v>3.7000000000000024</c:v>
                </c:pt>
                <c:pt idx="185">
                  <c:v>3.7200000000000024</c:v>
                </c:pt>
                <c:pt idx="186">
                  <c:v>3.7400000000000024</c:v>
                </c:pt>
                <c:pt idx="187">
                  <c:v>3.7600000000000025</c:v>
                </c:pt>
                <c:pt idx="188">
                  <c:v>3.7800000000000025</c:v>
                </c:pt>
                <c:pt idx="189">
                  <c:v>3.8000000000000025</c:v>
                </c:pt>
                <c:pt idx="190">
                  <c:v>3.8200000000000025</c:v>
                </c:pt>
                <c:pt idx="191">
                  <c:v>3.8400000000000025</c:v>
                </c:pt>
                <c:pt idx="192">
                  <c:v>3.8600000000000025</c:v>
                </c:pt>
                <c:pt idx="193">
                  <c:v>3.8800000000000026</c:v>
                </c:pt>
                <c:pt idx="194">
                  <c:v>3.9010000000000025</c:v>
                </c:pt>
                <c:pt idx="195">
                  <c:v>3.9200000000000026</c:v>
                </c:pt>
                <c:pt idx="196">
                  <c:v>3.9400000000000026</c:v>
                </c:pt>
                <c:pt idx="197">
                  <c:v>3.9600000000000026</c:v>
                </c:pt>
                <c:pt idx="198">
                  <c:v>3.9800000000000026</c:v>
                </c:pt>
                <c:pt idx="199">
                  <c:v>4.0000000000000027</c:v>
                </c:pt>
              </c:numCache>
            </c:numRef>
          </c:xVal>
          <c:yVal>
            <c:numRef>
              <c:f>'Data Analysis'!$L$2:$L$201</c:f>
              <c:numCache>
                <c:formatCode>General</c:formatCode>
                <c:ptCount val="200"/>
                <c:pt idx="0">
                  <c:v>2.0499999999999998</c:v>
                </c:pt>
                <c:pt idx="1">
                  <c:v>0.48</c:v>
                </c:pt>
                <c:pt idx="2">
                  <c:v>0.8</c:v>
                </c:pt>
                <c:pt idx="3">
                  <c:v>0.77</c:v>
                </c:pt>
                <c:pt idx="4">
                  <c:v>1.53</c:v>
                </c:pt>
                <c:pt idx="5">
                  <c:v>-0.24</c:v>
                </c:pt>
                <c:pt idx="6">
                  <c:v>0.56999999999999995</c:v>
                </c:pt>
                <c:pt idx="7">
                  <c:v>0.45</c:v>
                </c:pt>
                <c:pt idx="8">
                  <c:v>1.19</c:v>
                </c:pt>
                <c:pt idx="9">
                  <c:v>0.64</c:v>
                </c:pt>
                <c:pt idx="10">
                  <c:v>0.28999999999999998</c:v>
                </c:pt>
                <c:pt idx="11">
                  <c:v>0.08</c:v>
                </c:pt>
                <c:pt idx="12">
                  <c:v>1.26</c:v>
                </c:pt>
                <c:pt idx="13">
                  <c:v>0.17</c:v>
                </c:pt>
                <c:pt idx="14">
                  <c:v>0.74</c:v>
                </c:pt>
                <c:pt idx="15">
                  <c:v>0.08</c:v>
                </c:pt>
                <c:pt idx="16">
                  <c:v>1</c:v>
                </c:pt>
                <c:pt idx="17">
                  <c:v>0.48</c:v>
                </c:pt>
                <c:pt idx="18">
                  <c:v>1.4</c:v>
                </c:pt>
                <c:pt idx="19">
                  <c:v>0.52</c:v>
                </c:pt>
                <c:pt idx="20">
                  <c:v>0.6</c:v>
                </c:pt>
                <c:pt idx="21">
                  <c:v>0.74</c:v>
                </c:pt>
                <c:pt idx="22">
                  <c:v>0.95</c:v>
                </c:pt>
                <c:pt idx="23">
                  <c:v>0.2</c:v>
                </c:pt>
                <c:pt idx="24">
                  <c:v>0.76</c:v>
                </c:pt>
                <c:pt idx="25">
                  <c:v>0.7</c:v>
                </c:pt>
                <c:pt idx="26">
                  <c:v>1.32</c:v>
                </c:pt>
                <c:pt idx="27">
                  <c:v>0.68</c:v>
                </c:pt>
                <c:pt idx="28">
                  <c:v>0.76</c:v>
                </c:pt>
                <c:pt idx="29">
                  <c:v>0.4</c:v>
                </c:pt>
                <c:pt idx="30">
                  <c:v>0.63</c:v>
                </c:pt>
                <c:pt idx="31">
                  <c:v>0.05</c:v>
                </c:pt>
                <c:pt idx="32">
                  <c:v>0.73</c:v>
                </c:pt>
                <c:pt idx="33">
                  <c:v>0.36</c:v>
                </c:pt>
                <c:pt idx="34">
                  <c:v>0.73</c:v>
                </c:pt>
                <c:pt idx="35">
                  <c:v>0.14000000000000001</c:v>
                </c:pt>
                <c:pt idx="36">
                  <c:v>0.64</c:v>
                </c:pt>
                <c:pt idx="37">
                  <c:v>-0.24</c:v>
                </c:pt>
                <c:pt idx="38">
                  <c:v>0.8</c:v>
                </c:pt>
                <c:pt idx="39">
                  <c:v>-0.56000000000000005</c:v>
                </c:pt>
                <c:pt idx="40">
                  <c:v>0.31</c:v>
                </c:pt>
                <c:pt idx="41">
                  <c:v>-0.44</c:v>
                </c:pt>
                <c:pt idx="42">
                  <c:v>0.66</c:v>
                </c:pt>
                <c:pt idx="43">
                  <c:v>-7.0000000000000007E-2</c:v>
                </c:pt>
                <c:pt idx="44">
                  <c:v>0.56000000000000005</c:v>
                </c:pt>
                <c:pt idx="45">
                  <c:v>-0.1</c:v>
                </c:pt>
                <c:pt idx="46">
                  <c:v>0.71</c:v>
                </c:pt>
                <c:pt idx="47">
                  <c:v>-0.18</c:v>
                </c:pt>
                <c:pt idx="48">
                  <c:v>0.44</c:v>
                </c:pt>
                <c:pt idx="49">
                  <c:v>-0.32</c:v>
                </c:pt>
                <c:pt idx="50">
                  <c:v>0.38</c:v>
                </c:pt>
                <c:pt idx="51">
                  <c:v>-0.08</c:v>
                </c:pt>
                <c:pt idx="52">
                  <c:v>0.4</c:v>
                </c:pt>
                <c:pt idx="53">
                  <c:v>0.19</c:v>
                </c:pt>
                <c:pt idx="54">
                  <c:v>-0.22</c:v>
                </c:pt>
                <c:pt idx="55">
                  <c:v>-0.17</c:v>
                </c:pt>
                <c:pt idx="56">
                  <c:v>-7.0000000000000007E-2</c:v>
                </c:pt>
                <c:pt idx="57">
                  <c:v>0.18</c:v>
                </c:pt>
                <c:pt idx="58">
                  <c:v>-0.11</c:v>
                </c:pt>
                <c:pt idx="59">
                  <c:v>-0.24</c:v>
                </c:pt>
                <c:pt idx="60">
                  <c:v>-0.27</c:v>
                </c:pt>
                <c:pt idx="61">
                  <c:v>-0.26</c:v>
                </c:pt>
                <c:pt idx="62">
                  <c:v>-0.25</c:v>
                </c:pt>
                <c:pt idx="63">
                  <c:v>-0.24</c:v>
                </c:pt>
                <c:pt idx="64">
                  <c:v>-0.48</c:v>
                </c:pt>
                <c:pt idx="65">
                  <c:v>-0.22</c:v>
                </c:pt>
                <c:pt idx="66">
                  <c:v>-0.12</c:v>
                </c:pt>
                <c:pt idx="67">
                  <c:v>-0.1</c:v>
                </c:pt>
                <c:pt idx="68">
                  <c:v>-0.47</c:v>
                </c:pt>
                <c:pt idx="69">
                  <c:v>-0.22</c:v>
                </c:pt>
                <c:pt idx="70">
                  <c:v>-0.19</c:v>
                </c:pt>
                <c:pt idx="71">
                  <c:v>-0.27</c:v>
                </c:pt>
                <c:pt idx="72">
                  <c:v>-0.24</c:v>
                </c:pt>
                <c:pt idx="73">
                  <c:v>-0.2</c:v>
                </c:pt>
                <c:pt idx="74">
                  <c:v>-0.26</c:v>
                </c:pt>
                <c:pt idx="75">
                  <c:v>-0.17</c:v>
                </c:pt>
                <c:pt idx="76">
                  <c:v>-0.42</c:v>
                </c:pt>
                <c:pt idx="77">
                  <c:v>7.0000000000000007E-2</c:v>
                </c:pt>
                <c:pt idx="78">
                  <c:v>-0.39</c:v>
                </c:pt>
                <c:pt idx="79">
                  <c:v>-0.25</c:v>
                </c:pt>
                <c:pt idx="80">
                  <c:v>-0.36</c:v>
                </c:pt>
                <c:pt idx="81">
                  <c:v>0.01</c:v>
                </c:pt>
                <c:pt idx="82">
                  <c:v>-0.49</c:v>
                </c:pt>
                <c:pt idx="83">
                  <c:v>-0.15</c:v>
                </c:pt>
                <c:pt idx="84">
                  <c:v>-0.48</c:v>
                </c:pt>
                <c:pt idx="85">
                  <c:v>-0.03</c:v>
                </c:pt>
                <c:pt idx="86">
                  <c:v>-0.38</c:v>
                </c:pt>
                <c:pt idx="87">
                  <c:v>-0.52</c:v>
                </c:pt>
                <c:pt idx="88">
                  <c:v>-0.44</c:v>
                </c:pt>
                <c:pt idx="89">
                  <c:v>-0.34</c:v>
                </c:pt>
                <c:pt idx="90">
                  <c:v>-0.52</c:v>
                </c:pt>
                <c:pt idx="91">
                  <c:v>-0.42</c:v>
                </c:pt>
                <c:pt idx="92">
                  <c:v>-0.6</c:v>
                </c:pt>
                <c:pt idx="93">
                  <c:v>-0.59</c:v>
                </c:pt>
                <c:pt idx="94">
                  <c:v>-0.38</c:v>
                </c:pt>
                <c:pt idx="95">
                  <c:v>-0.61</c:v>
                </c:pt>
                <c:pt idx="96">
                  <c:v>-0.6</c:v>
                </c:pt>
                <c:pt idx="97">
                  <c:v>-0.47</c:v>
                </c:pt>
                <c:pt idx="98">
                  <c:v>-0.59</c:v>
                </c:pt>
                <c:pt idx="99">
                  <c:v>-0.69</c:v>
                </c:pt>
                <c:pt idx="100">
                  <c:v>-0.54</c:v>
                </c:pt>
                <c:pt idx="101">
                  <c:v>-0.6</c:v>
                </c:pt>
                <c:pt idx="102">
                  <c:v>-0.51</c:v>
                </c:pt>
                <c:pt idx="103">
                  <c:v>-0.84</c:v>
                </c:pt>
                <c:pt idx="104">
                  <c:v>-0.71</c:v>
                </c:pt>
                <c:pt idx="105">
                  <c:v>-0.49</c:v>
                </c:pt>
                <c:pt idx="106">
                  <c:v>-0.53</c:v>
                </c:pt>
                <c:pt idx="107">
                  <c:v>-0.59</c:v>
                </c:pt>
                <c:pt idx="108">
                  <c:v>-0.83</c:v>
                </c:pt>
                <c:pt idx="109">
                  <c:v>-0.03</c:v>
                </c:pt>
                <c:pt idx="110">
                  <c:v>-0.51</c:v>
                </c:pt>
                <c:pt idx="111">
                  <c:v>-0.36</c:v>
                </c:pt>
                <c:pt idx="112">
                  <c:v>-0.68</c:v>
                </c:pt>
                <c:pt idx="113">
                  <c:v>-0.71</c:v>
                </c:pt>
                <c:pt idx="114">
                  <c:v>-0.59</c:v>
                </c:pt>
                <c:pt idx="115">
                  <c:v>-0.59</c:v>
                </c:pt>
                <c:pt idx="116">
                  <c:v>-0.51</c:v>
                </c:pt>
                <c:pt idx="117">
                  <c:v>0.08</c:v>
                </c:pt>
                <c:pt idx="118">
                  <c:v>-0.72</c:v>
                </c:pt>
                <c:pt idx="119">
                  <c:v>-0.7</c:v>
                </c:pt>
                <c:pt idx="120">
                  <c:v>-0.75</c:v>
                </c:pt>
                <c:pt idx="121">
                  <c:v>-0.5</c:v>
                </c:pt>
                <c:pt idx="122">
                  <c:v>-0.66</c:v>
                </c:pt>
                <c:pt idx="123">
                  <c:v>-0.65</c:v>
                </c:pt>
                <c:pt idx="124">
                  <c:v>-0.72</c:v>
                </c:pt>
                <c:pt idx="125">
                  <c:v>-0.41</c:v>
                </c:pt>
                <c:pt idx="126">
                  <c:v>-0.35</c:v>
                </c:pt>
                <c:pt idx="127">
                  <c:v>-0.57999999999999996</c:v>
                </c:pt>
                <c:pt idx="128">
                  <c:v>-0.77</c:v>
                </c:pt>
                <c:pt idx="129">
                  <c:v>-0.4</c:v>
                </c:pt>
                <c:pt idx="130">
                  <c:v>-0.5</c:v>
                </c:pt>
                <c:pt idx="131">
                  <c:v>-0.56000000000000005</c:v>
                </c:pt>
                <c:pt idx="132">
                  <c:v>-0.59</c:v>
                </c:pt>
                <c:pt idx="133">
                  <c:v>-0.64</c:v>
                </c:pt>
                <c:pt idx="134">
                  <c:v>-0.54</c:v>
                </c:pt>
                <c:pt idx="135">
                  <c:v>-0.56000000000000005</c:v>
                </c:pt>
                <c:pt idx="136">
                  <c:v>-0.78</c:v>
                </c:pt>
                <c:pt idx="137">
                  <c:v>-0.25</c:v>
                </c:pt>
                <c:pt idx="138">
                  <c:v>-0.74</c:v>
                </c:pt>
                <c:pt idx="139">
                  <c:v>-0.71</c:v>
                </c:pt>
                <c:pt idx="140">
                  <c:v>-0.65</c:v>
                </c:pt>
                <c:pt idx="141">
                  <c:v>-0.68</c:v>
                </c:pt>
                <c:pt idx="142">
                  <c:v>-0.42</c:v>
                </c:pt>
                <c:pt idx="143">
                  <c:v>-0.84</c:v>
                </c:pt>
                <c:pt idx="144">
                  <c:v>-0.52</c:v>
                </c:pt>
                <c:pt idx="145">
                  <c:v>-0.17</c:v>
                </c:pt>
                <c:pt idx="146">
                  <c:v>-0.54</c:v>
                </c:pt>
                <c:pt idx="147">
                  <c:v>-0.45</c:v>
                </c:pt>
                <c:pt idx="148">
                  <c:v>-0.52</c:v>
                </c:pt>
                <c:pt idx="149">
                  <c:v>-0.48</c:v>
                </c:pt>
                <c:pt idx="150">
                  <c:v>-0.21</c:v>
                </c:pt>
                <c:pt idx="151">
                  <c:v>-0.1</c:v>
                </c:pt>
                <c:pt idx="152">
                  <c:v>-0.37</c:v>
                </c:pt>
                <c:pt idx="153">
                  <c:v>-0.35</c:v>
                </c:pt>
                <c:pt idx="154">
                  <c:v>0.03</c:v>
                </c:pt>
                <c:pt idx="155">
                  <c:v>0.22</c:v>
                </c:pt>
                <c:pt idx="156">
                  <c:v>-0.18</c:v>
                </c:pt>
                <c:pt idx="157">
                  <c:v>-0.31</c:v>
                </c:pt>
                <c:pt idx="158">
                  <c:v>0.03</c:v>
                </c:pt>
                <c:pt idx="159">
                  <c:v>-0.22</c:v>
                </c:pt>
                <c:pt idx="160">
                  <c:v>-0.03</c:v>
                </c:pt>
                <c:pt idx="161">
                  <c:v>0.1</c:v>
                </c:pt>
                <c:pt idx="162">
                  <c:v>0.39</c:v>
                </c:pt>
                <c:pt idx="163">
                  <c:v>-0.22</c:v>
                </c:pt>
                <c:pt idx="164">
                  <c:v>0.27</c:v>
                </c:pt>
                <c:pt idx="165">
                  <c:v>0.1</c:v>
                </c:pt>
                <c:pt idx="166">
                  <c:v>0.05</c:v>
                </c:pt>
                <c:pt idx="167">
                  <c:v>-0.08</c:v>
                </c:pt>
                <c:pt idx="168">
                  <c:v>0.11</c:v>
                </c:pt>
                <c:pt idx="169">
                  <c:v>0.09</c:v>
                </c:pt>
                <c:pt idx="170">
                  <c:v>0.31</c:v>
                </c:pt>
                <c:pt idx="171">
                  <c:v>-0.08</c:v>
                </c:pt>
                <c:pt idx="172">
                  <c:v>0.13</c:v>
                </c:pt>
                <c:pt idx="173">
                  <c:v>0.52</c:v>
                </c:pt>
                <c:pt idx="174">
                  <c:v>0.36</c:v>
                </c:pt>
                <c:pt idx="175">
                  <c:v>0.16</c:v>
                </c:pt>
                <c:pt idx="176">
                  <c:v>0.95</c:v>
                </c:pt>
                <c:pt idx="177">
                  <c:v>0.3</c:v>
                </c:pt>
                <c:pt idx="178">
                  <c:v>1.46</c:v>
                </c:pt>
                <c:pt idx="179">
                  <c:v>0.03</c:v>
                </c:pt>
                <c:pt idx="180">
                  <c:v>1.22</c:v>
                </c:pt>
                <c:pt idx="181">
                  <c:v>0.27</c:v>
                </c:pt>
                <c:pt idx="182">
                  <c:v>0.54</c:v>
                </c:pt>
                <c:pt idx="183">
                  <c:v>0.03</c:v>
                </c:pt>
                <c:pt idx="184">
                  <c:v>1</c:v>
                </c:pt>
                <c:pt idx="185">
                  <c:v>0.57999999999999996</c:v>
                </c:pt>
                <c:pt idx="186">
                  <c:v>1.61</c:v>
                </c:pt>
                <c:pt idx="187">
                  <c:v>0.08</c:v>
                </c:pt>
                <c:pt idx="188">
                  <c:v>0.83</c:v>
                </c:pt>
                <c:pt idx="189">
                  <c:v>0.28999999999999998</c:v>
                </c:pt>
                <c:pt idx="190">
                  <c:v>1.27</c:v>
                </c:pt>
                <c:pt idx="191">
                  <c:v>0.48</c:v>
                </c:pt>
                <c:pt idx="192">
                  <c:v>0.62</c:v>
                </c:pt>
                <c:pt idx="193">
                  <c:v>0.52</c:v>
                </c:pt>
                <c:pt idx="194">
                  <c:v>1.57</c:v>
                </c:pt>
                <c:pt idx="195">
                  <c:v>0.02</c:v>
                </c:pt>
                <c:pt idx="196">
                  <c:v>1.76</c:v>
                </c:pt>
                <c:pt idx="197">
                  <c:v>0.31</c:v>
                </c:pt>
                <c:pt idx="198">
                  <c:v>1.88</c:v>
                </c:pt>
                <c:pt idx="199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EB-4296-8EB5-F6D40A7D20FE}"/>
            </c:ext>
          </c:extLst>
        </c:ser>
        <c:ser>
          <c:idx val="2"/>
          <c:order val="2"/>
          <c:tx>
            <c:v>PMSK Data Adjusted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'Data Analysis'!$K$2:$K$201</c:f>
              <c:numCache>
                <c:formatCode>General</c:formatCode>
                <c:ptCount val="200"/>
                <c:pt idx="0">
                  <c:v>0.02</c:v>
                </c:pt>
                <c:pt idx="1">
                  <c:v>0.04</c:v>
                </c:pt>
                <c:pt idx="2">
                  <c:v>5.8999999999999997E-2</c:v>
                </c:pt>
                <c:pt idx="3">
                  <c:v>0.08</c:v>
                </c:pt>
                <c:pt idx="4">
                  <c:v>9.9000000000000005E-2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0.39900000000000008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0.69900000000000029</c:v>
                </c:pt>
                <c:pt idx="35">
                  <c:v>0.72000000000000031</c:v>
                </c:pt>
                <c:pt idx="36">
                  <c:v>0.73900000000000032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1.0390000000000004</c:v>
                </c:pt>
                <c:pt idx="52">
                  <c:v>1.0600000000000003</c:v>
                </c:pt>
                <c:pt idx="53">
                  <c:v>1.0800000000000003</c:v>
                </c:pt>
                <c:pt idx="54">
                  <c:v>1.1000000000000003</c:v>
                </c:pt>
                <c:pt idx="55">
                  <c:v>1.1200000000000003</c:v>
                </c:pt>
                <c:pt idx="56">
                  <c:v>1.1400000000000003</c:v>
                </c:pt>
                <c:pt idx="57">
                  <c:v>1.1600000000000004</c:v>
                </c:pt>
                <c:pt idx="58">
                  <c:v>1.1800000000000004</c:v>
                </c:pt>
                <c:pt idx="59">
                  <c:v>1.2000000000000004</c:v>
                </c:pt>
                <c:pt idx="60">
                  <c:v>1.2200000000000004</c:v>
                </c:pt>
                <c:pt idx="61">
                  <c:v>1.2400000000000004</c:v>
                </c:pt>
                <c:pt idx="62">
                  <c:v>1.2600000000000005</c:v>
                </c:pt>
                <c:pt idx="63">
                  <c:v>1.2800000000000005</c:v>
                </c:pt>
                <c:pt idx="64">
                  <c:v>1.3000000000000005</c:v>
                </c:pt>
                <c:pt idx="65">
                  <c:v>1.3200000000000005</c:v>
                </c:pt>
                <c:pt idx="66">
                  <c:v>1.3390000000000004</c:v>
                </c:pt>
                <c:pt idx="67">
                  <c:v>1.3600000000000003</c:v>
                </c:pt>
                <c:pt idx="68">
                  <c:v>1.3800000000000003</c:v>
                </c:pt>
                <c:pt idx="69">
                  <c:v>1.4000000000000004</c:v>
                </c:pt>
                <c:pt idx="70">
                  <c:v>1.4200000000000004</c:v>
                </c:pt>
                <c:pt idx="71">
                  <c:v>1.4400000000000004</c:v>
                </c:pt>
                <c:pt idx="72">
                  <c:v>1.4600000000000004</c:v>
                </c:pt>
                <c:pt idx="73">
                  <c:v>1.4800000000000004</c:v>
                </c:pt>
                <c:pt idx="74">
                  <c:v>1.5000000000000004</c:v>
                </c:pt>
                <c:pt idx="75">
                  <c:v>1.5200000000000005</c:v>
                </c:pt>
                <c:pt idx="76">
                  <c:v>1.5400000000000005</c:v>
                </c:pt>
                <c:pt idx="77">
                  <c:v>1.5600000000000005</c:v>
                </c:pt>
                <c:pt idx="78">
                  <c:v>1.5800000000000005</c:v>
                </c:pt>
                <c:pt idx="79">
                  <c:v>1.6000000000000005</c:v>
                </c:pt>
                <c:pt idx="80">
                  <c:v>1.6200000000000006</c:v>
                </c:pt>
                <c:pt idx="81">
                  <c:v>1.6400000000000006</c:v>
                </c:pt>
                <c:pt idx="82">
                  <c:v>1.6600000000000006</c:v>
                </c:pt>
                <c:pt idx="83">
                  <c:v>1.6800000000000006</c:v>
                </c:pt>
                <c:pt idx="84">
                  <c:v>1.7000000000000006</c:v>
                </c:pt>
                <c:pt idx="85">
                  <c:v>1.7200000000000006</c:v>
                </c:pt>
                <c:pt idx="86">
                  <c:v>1.7400000000000007</c:v>
                </c:pt>
                <c:pt idx="87">
                  <c:v>1.7600000000000007</c:v>
                </c:pt>
                <c:pt idx="88">
                  <c:v>1.7800000000000007</c:v>
                </c:pt>
                <c:pt idx="89">
                  <c:v>1.8000000000000007</c:v>
                </c:pt>
                <c:pt idx="90">
                  <c:v>1.8200000000000007</c:v>
                </c:pt>
                <c:pt idx="91">
                  <c:v>1.8400000000000007</c:v>
                </c:pt>
                <c:pt idx="92">
                  <c:v>1.8600000000000008</c:v>
                </c:pt>
                <c:pt idx="93">
                  <c:v>1.8800000000000008</c:v>
                </c:pt>
                <c:pt idx="94">
                  <c:v>1.9000000000000008</c:v>
                </c:pt>
                <c:pt idx="95">
                  <c:v>1.9200000000000008</c:v>
                </c:pt>
                <c:pt idx="96">
                  <c:v>1.9400000000000008</c:v>
                </c:pt>
                <c:pt idx="97">
                  <c:v>1.9600000000000009</c:v>
                </c:pt>
                <c:pt idx="98">
                  <c:v>1.9790000000000008</c:v>
                </c:pt>
                <c:pt idx="99">
                  <c:v>2.0000000000000009</c:v>
                </c:pt>
                <c:pt idx="100">
                  <c:v>2.0200000000000009</c:v>
                </c:pt>
                <c:pt idx="101">
                  <c:v>2.0400000000000009</c:v>
                </c:pt>
                <c:pt idx="102">
                  <c:v>2.0600000000000009</c:v>
                </c:pt>
                <c:pt idx="103">
                  <c:v>2.080000000000001</c:v>
                </c:pt>
                <c:pt idx="104">
                  <c:v>2.100000000000001</c:v>
                </c:pt>
                <c:pt idx="105">
                  <c:v>2.120000000000001</c:v>
                </c:pt>
                <c:pt idx="106">
                  <c:v>2.140000000000001</c:v>
                </c:pt>
                <c:pt idx="107">
                  <c:v>2.160000000000001</c:v>
                </c:pt>
                <c:pt idx="108">
                  <c:v>2.180000000000001</c:v>
                </c:pt>
                <c:pt idx="109">
                  <c:v>2.2000000000000011</c:v>
                </c:pt>
                <c:pt idx="110">
                  <c:v>2.2200000000000011</c:v>
                </c:pt>
                <c:pt idx="111">
                  <c:v>2.2400000000000011</c:v>
                </c:pt>
                <c:pt idx="112">
                  <c:v>2.2600000000000011</c:v>
                </c:pt>
                <c:pt idx="113">
                  <c:v>2.2800000000000011</c:v>
                </c:pt>
                <c:pt idx="114">
                  <c:v>2.3000000000000012</c:v>
                </c:pt>
                <c:pt idx="115">
                  <c:v>2.3200000000000012</c:v>
                </c:pt>
                <c:pt idx="116">
                  <c:v>2.3400000000000012</c:v>
                </c:pt>
                <c:pt idx="117">
                  <c:v>2.3600000000000012</c:v>
                </c:pt>
                <c:pt idx="118">
                  <c:v>2.3800000000000012</c:v>
                </c:pt>
                <c:pt idx="119">
                  <c:v>2.4000000000000012</c:v>
                </c:pt>
                <c:pt idx="120">
                  <c:v>2.4200000000000013</c:v>
                </c:pt>
                <c:pt idx="121">
                  <c:v>2.4400000000000013</c:v>
                </c:pt>
                <c:pt idx="122">
                  <c:v>2.4600000000000013</c:v>
                </c:pt>
                <c:pt idx="123">
                  <c:v>2.4800000000000013</c:v>
                </c:pt>
                <c:pt idx="124">
                  <c:v>2.5000000000000013</c:v>
                </c:pt>
                <c:pt idx="125">
                  <c:v>2.5200000000000014</c:v>
                </c:pt>
                <c:pt idx="126">
                  <c:v>2.5400000000000014</c:v>
                </c:pt>
                <c:pt idx="127">
                  <c:v>2.5600000000000014</c:v>
                </c:pt>
                <c:pt idx="128">
                  <c:v>2.5800000000000014</c:v>
                </c:pt>
                <c:pt idx="129">
                  <c:v>2.6000000000000014</c:v>
                </c:pt>
                <c:pt idx="130">
                  <c:v>2.6210000000000013</c:v>
                </c:pt>
                <c:pt idx="131">
                  <c:v>2.6400000000000015</c:v>
                </c:pt>
                <c:pt idx="132">
                  <c:v>2.6600000000000015</c:v>
                </c:pt>
                <c:pt idx="133">
                  <c:v>2.6800000000000015</c:v>
                </c:pt>
                <c:pt idx="134">
                  <c:v>2.7000000000000015</c:v>
                </c:pt>
                <c:pt idx="135">
                  <c:v>2.7200000000000015</c:v>
                </c:pt>
                <c:pt idx="136">
                  <c:v>2.7400000000000015</c:v>
                </c:pt>
                <c:pt idx="137">
                  <c:v>2.7600000000000016</c:v>
                </c:pt>
                <c:pt idx="138">
                  <c:v>2.7800000000000016</c:v>
                </c:pt>
                <c:pt idx="139">
                  <c:v>2.8000000000000016</c:v>
                </c:pt>
                <c:pt idx="140">
                  <c:v>2.8200000000000016</c:v>
                </c:pt>
                <c:pt idx="141">
                  <c:v>2.8400000000000016</c:v>
                </c:pt>
                <c:pt idx="142">
                  <c:v>2.8600000000000017</c:v>
                </c:pt>
                <c:pt idx="143">
                  <c:v>2.8800000000000017</c:v>
                </c:pt>
                <c:pt idx="144">
                  <c:v>2.9000000000000017</c:v>
                </c:pt>
                <c:pt idx="145">
                  <c:v>2.9200000000000017</c:v>
                </c:pt>
                <c:pt idx="146">
                  <c:v>2.9400000000000017</c:v>
                </c:pt>
                <c:pt idx="147">
                  <c:v>2.9600000000000017</c:v>
                </c:pt>
                <c:pt idx="148">
                  <c:v>2.9800000000000018</c:v>
                </c:pt>
                <c:pt idx="149">
                  <c:v>3.0000000000000018</c:v>
                </c:pt>
                <c:pt idx="150">
                  <c:v>3.0200000000000018</c:v>
                </c:pt>
                <c:pt idx="151">
                  <c:v>3.0400000000000018</c:v>
                </c:pt>
                <c:pt idx="152">
                  <c:v>3.0600000000000018</c:v>
                </c:pt>
                <c:pt idx="153">
                  <c:v>3.0800000000000018</c:v>
                </c:pt>
                <c:pt idx="154">
                  <c:v>3.1000000000000019</c:v>
                </c:pt>
                <c:pt idx="155">
                  <c:v>3.1200000000000019</c:v>
                </c:pt>
                <c:pt idx="156">
                  <c:v>3.1400000000000019</c:v>
                </c:pt>
                <c:pt idx="157">
                  <c:v>3.1600000000000019</c:v>
                </c:pt>
                <c:pt idx="158">
                  <c:v>3.1800000000000019</c:v>
                </c:pt>
                <c:pt idx="159">
                  <c:v>3.200000000000002</c:v>
                </c:pt>
                <c:pt idx="160">
                  <c:v>3.220000000000002</c:v>
                </c:pt>
                <c:pt idx="161">
                  <c:v>3.240000000000002</c:v>
                </c:pt>
                <c:pt idx="162">
                  <c:v>3.2610000000000019</c:v>
                </c:pt>
                <c:pt idx="163">
                  <c:v>3.280000000000002</c:v>
                </c:pt>
                <c:pt idx="164">
                  <c:v>3.300000000000002</c:v>
                </c:pt>
                <c:pt idx="165">
                  <c:v>3.3200000000000021</c:v>
                </c:pt>
                <c:pt idx="166">
                  <c:v>3.3400000000000021</c:v>
                </c:pt>
                <c:pt idx="167">
                  <c:v>3.3600000000000021</c:v>
                </c:pt>
                <c:pt idx="168">
                  <c:v>3.3800000000000021</c:v>
                </c:pt>
                <c:pt idx="169">
                  <c:v>3.4000000000000021</c:v>
                </c:pt>
                <c:pt idx="170">
                  <c:v>3.4200000000000021</c:v>
                </c:pt>
                <c:pt idx="171">
                  <c:v>3.4400000000000022</c:v>
                </c:pt>
                <c:pt idx="172">
                  <c:v>3.4600000000000022</c:v>
                </c:pt>
                <c:pt idx="173">
                  <c:v>3.4800000000000022</c:v>
                </c:pt>
                <c:pt idx="174">
                  <c:v>3.5000000000000022</c:v>
                </c:pt>
                <c:pt idx="175">
                  <c:v>3.5200000000000022</c:v>
                </c:pt>
                <c:pt idx="176">
                  <c:v>3.5400000000000023</c:v>
                </c:pt>
                <c:pt idx="177">
                  <c:v>3.5610000000000022</c:v>
                </c:pt>
                <c:pt idx="178">
                  <c:v>3.5800000000000023</c:v>
                </c:pt>
                <c:pt idx="179">
                  <c:v>3.6000000000000023</c:v>
                </c:pt>
                <c:pt idx="180">
                  <c:v>3.6200000000000023</c:v>
                </c:pt>
                <c:pt idx="181">
                  <c:v>3.6400000000000023</c:v>
                </c:pt>
                <c:pt idx="182">
                  <c:v>3.6600000000000024</c:v>
                </c:pt>
                <c:pt idx="183">
                  <c:v>3.6800000000000024</c:v>
                </c:pt>
                <c:pt idx="184">
                  <c:v>3.7000000000000024</c:v>
                </c:pt>
                <c:pt idx="185">
                  <c:v>3.7200000000000024</c:v>
                </c:pt>
                <c:pt idx="186">
                  <c:v>3.7400000000000024</c:v>
                </c:pt>
                <c:pt idx="187">
                  <c:v>3.7600000000000025</c:v>
                </c:pt>
                <c:pt idx="188">
                  <c:v>3.7800000000000025</c:v>
                </c:pt>
                <c:pt idx="189">
                  <c:v>3.8000000000000025</c:v>
                </c:pt>
                <c:pt idx="190">
                  <c:v>3.8200000000000025</c:v>
                </c:pt>
                <c:pt idx="191">
                  <c:v>3.8400000000000025</c:v>
                </c:pt>
                <c:pt idx="192">
                  <c:v>3.8600000000000025</c:v>
                </c:pt>
                <c:pt idx="193">
                  <c:v>3.8800000000000026</c:v>
                </c:pt>
                <c:pt idx="194">
                  <c:v>3.9010000000000025</c:v>
                </c:pt>
                <c:pt idx="195">
                  <c:v>3.9200000000000026</c:v>
                </c:pt>
                <c:pt idx="196">
                  <c:v>3.9400000000000026</c:v>
                </c:pt>
                <c:pt idx="197">
                  <c:v>3.9600000000000026</c:v>
                </c:pt>
                <c:pt idx="198">
                  <c:v>3.9800000000000026</c:v>
                </c:pt>
                <c:pt idx="199">
                  <c:v>4.0000000000000027</c:v>
                </c:pt>
              </c:numCache>
            </c:numRef>
          </c:xVal>
          <c:yVal>
            <c:numRef>
              <c:f>'Data Analysis'!$I$2:$I$201</c:f>
              <c:numCache>
                <c:formatCode>General</c:formatCode>
                <c:ptCount val="200"/>
                <c:pt idx="0">
                  <c:v>0.78525400005438839</c:v>
                </c:pt>
                <c:pt idx="1">
                  <c:v>0.78604099999093524</c:v>
                </c:pt>
                <c:pt idx="2">
                  <c:v>0.78478664981281288</c:v>
                </c:pt>
                <c:pt idx="3">
                  <c:v>0.78123199952863298</c:v>
                </c:pt>
                <c:pt idx="4">
                  <c:v>0.77626719928207188</c:v>
                </c:pt>
                <c:pt idx="5">
                  <c:v>0.76868899883064723</c:v>
                </c:pt>
                <c:pt idx="6">
                  <c:v>0.75984899828676211</c:v>
                </c:pt>
                <c:pt idx="7">
                  <c:v>0.74956799775194194</c:v>
                </c:pt>
                <c:pt idx="8">
                  <c:v>0.73781499714460363</c:v>
                </c:pt>
                <c:pt idx="9">
                  <c:v>0.72496499669136627</c:v>
                </c:pt>
                <c:pt idx="10">
                  <c:v>0.71093999601150992</c:v>
                </c:pt>
                <c:pt idx="11">
                  <c:v>0.69600999537697739</c:v>
                </c:pt>
                <c:pt idx="12">
                  <c:v>0.680318494756042</c:v>
                </c:pt>
                <c:pt idx="13">
                  <c:v>0.66399099409884754</c:v>
                </c:pt>
                <c:pt idx="14">
                  <c:v>0.64720499360935113</c:v>
                </c:pt>
                <c:pt idx="15">
                  <c:v>0.62991599296575373</c:v>
                </c:pt>
                <c:pt idx="16">
                  <c:v>0.61245299244906304</c:v>
                </c:pt>
                <c:pt idx="17">
                  <c:v>0.59473099192330747</c:v>
                </c:pt>
                <c:pt idx="18">
                  <c:v>0.57696049147460227</c:v>
                </c:pt>
                <c:pt idx="19">
                  <c:v>0.56007851604833248</c:v>
                </c:pt>
                <c:pt idx="20">
                  <c:v>0.54148899067237188</c:v>
                </c:pt>
                <c:pt idx="21">
                  <c:v>0.52384699032791138</c:v>
                </c:pt>
                <c:pt idx="22">
                  <c:v>0.50643548988827103</c:v>
                </c:pt>
                <c:pt idx="23">
                  <c:v>0.4891479897749616</c:v>
                </c:pt>
                <c:pt idx="24">
                  <c:v>0.47218748923560899</c:v>
                </c:pt>
                <c:pt idx="25">
                  <c:v>0.45553598915855864</c:v>
                </c:pt>
                <c:pt idx="26">
                  <c:v>0.43916848886395432</c:v>
                </c:pt>
                <c:pt idx="27">
                  <c:v>0.42311198883222761</c:v>
                </c:pt>
                <c:pt idx="28">
                  <c:v>0.40742698869625626</c:v>
                </c:pt>
                <c:pt idx="29">
                  <c:v>0.39207498844244326</c:v>
                </c:pt>
                <c:pt idx="30">
                  <c:v>0.37704648833819859</c:v>
                </c:pt>
                <c:pt idx="31">
                  <c:v>0.36233598825208357</c:v>
                </c:pt>
                <c:pt idx="32">
                  <c:v>0.34804348818409792</c:v>
                </c:pt>
                <c:pt idx="33">
                  <c:v>0.33407198828834256</c:v>
                </c:pt>
                <c:pt idx="34">
                  <c:v>0.32118561311951149</c:v>
                </c:pt>
                <c:pt idx="35">
                  <c:v>0.30727398808891809</c:v>
                </c:pt>
                <c:pt idx="36">
                  <c:v>0.29495818794206907</c:v>
                </c:pt>
                <c:pt idx="37">
                  <c:v>0.28165098811611233</c:v>
                </c:pt>
                <c:pt idx="38">
                  <c:v>0.26936598798014094</c:v>
                </c:pt>
                <c:pt idx="39">
                  <c:v>0.25731998803452943</c:v>
                </c:pt>
                <c:pt idx="40">
                  <c:v>0.24559198810704747</c:v>
                </c:pt>
                <c:pt idx="41">
                  <c:v>0.23414298800733524</c:v>
                </c:pt>
                <c:pt idx="42">
                  <c:v>0.22285298791668773</c:v>
                </c:pt>
                <c:pt idx="43">
                  <c:v>0.21182198783510492</c:v>
                </c:pt>
                <c:pt idx="44">
                  <c:v>0.20104998776258692</c:v>
                </c:pt>
                <c:pt idx="45">
                  <c:v>0.1904939879076229</c:v>
                </c:pt>
                <c:pt idx="46">
                  <c:v>0.18011948785776682</c:v>
                </c:pt>
                <c:pt idx="47">
                  <c:v>0.17000398781697545</c:v>
                </c:pt>
                <c:pt idx="48">
                  <c:v>0.15995198756316242</c:v>
                </c:pt>
                <c:pt idx="49">
                  <c:v>0.15007498753596815</c:v>
                </c:pt>
                <c:pt idx="50">
                  <c:v>0.14035698751783876</c:v>
                </c:pt>
                <c:pt idx="51">
                  <c:v>0.13124863728532798</c:v>
                </c:pt>
                <c:pt idx="52">
                  <c:v>0.12128448726855812</c:v>
                </c:pt>
                <c:pt idx="53">
                  <c:v>0.11186398727309055</c:v>
                </c:pt>
                <c:pt idx="54">
                  <c:v>0.10252998703740701</c:v>
                </c:pt>
                <c:pt idx="55">
                  <c:v>9.3247987055536607E-2</c:v>
                </c:pt>
                <c:pt idx="56">
                  <c:v>8.4061986566040026E-2</c:v>
                </c:pt>
                <c:pt idx="57">
                  <c:v>7.483898659323418E-2</c:v>
                </c:pt>
                <c:pt idx="58">
                  <c:v>6.5684486362083128E-2</c:v>
                </c:pt>
                <c:pt idx="59">
                  <c:v>5.6599986402874447E-2</c:v>
                </c:pt>
                <c:pt idx="60">
                  <c:v>4.74754858997809E-2</c:v>
                </c:pt>
                <c:pt idx="61">
                  <c:v>3.8320985668629626E-2</c:v>
                </c:pt>
                <c:pt idx="62">
                  <c:v>2.9166485437478462E-2</c:v>
                </c:pt>
                <c:pt idx="63">
                  <c:v>1.9923984916255466E-2</c:v>
                </c:pt>
                <c:pt idx="64">
                  <c:v>1.0689984680571807E-2</c:v>
                </c:pt>
                <c:pt idx="65">
                  <c:v>1.3559844448883807E-3</c:v>
                </c:pt>
                <c:pt idx="66">
                  <c:v>-7.5288410824533303E-3</c:v>
                </c:pt>
                <c:pt idx="67">
                  <c:v>-1.7518016334680087E-2</c:v>
                </c:pt>
                <c:pt idx="68">
                  <c:v>-2.7031516574895886E-2</c:v>
                </c:pt>
                <c:pt idx="69">
                  <c:v>-3.6710017132378203E-2</c:v>
                </c:pt>
                <c:pt idx="70">
                  <c:v>-4.6503017377126143E-2</c:v>
                </c:pt>
                <c:pt idx="71">
                  <c:v>-5.6420017948205614E-2</c:v>
                </c:pt>
                <c:pt idx="72">
                  <c:v>-6.6399518859213025E-2</c:v>
                </c:pt>
                <c:pt idx="73">
                  <c:v>-7.663101911755843E-2</c:v>
                </c:pt>
                <c:pt idx="74">
                  <c:v>-8.6925019715832108E-2</c:v>
                </c:pt>
                <c:pt idx="75">
                  <c:v>-9.7378020323170222E-2</c:v>
                </c:pt>
                <c:pt idx="76">
                  <c:v>-0.10799002093957333</c:v>
                </c:pt>
                <c:pt idx="77">
                  <c:v>-0.1187610215650412</c:v>
                </c:pt>
                <c:pt idx="78">
                  <c:v>-0.12971052184151588</c:v>
                </c:pt>
                <c:pt idx="79">
                  <c:v>-0.14082002248058101</c:v>
                </c:pt>
                <c:pt idx="80">
                  <c:v>-0.15212802349583276</c:v>
                </c:pt>
                <c:pt idx="81">
                  <c:v>-0.1636160237859049</c:v>
                </c:pt>
                <c:pt idx="82">
                  <c:v>-0.17520252445216411</c:v>
                </c:pt>
                <c:pt idx="83">
                  <c:v>-0.18697002474676849</c:v>
                </c:pt>
                <c:pt idx="84">
                  <c:v>-0.19895252581187672</c:v>
                </c:pt>
                <c:pt idx="85">
                  <c:v>-0.21101602650533002</c:v>
                </c:pt>
                <c:pt idx="86">
                  <c:v>-0.22323852720784843</c:v>
                </c:pt>
                <c:pt idx="87">
                  <c:v>-0.23562402752058209</c:v>
                </c:pt>
                <c:pt idx="88">
                  <c:v>-0.24808502823669731</c:v>
                </c:pt>
                <c:pt idx="89">
                  <c:v>-0.26065002855396369</c:v>
                </c:pt>
                <c:pt idx="90">
                  <c:v>-0.27334952928367595</c:v>
                </c:pt>
                <c:pt idx="91">
                  <c:v>-0.28610803002245322</c:v>
                </c:pt>
                <c:pt idx="92">
                  <c:v>-0.2989385299272731</c:v>
                </c:pt>
                <c:pt idx="93">
                  <c:v>-0.31178303024907184</c:v>
                </c:pt>
                <c:pt idx="94">
                  <c:v>-0.3246800310014466</c:v>
                </c:pt>
                <c:pt idx="95">
                  <c:v>-0.33757203089266918</c:v>
                </c:pt>
                <c:pt idx="96">
                  <c:v>-0.35041653121446803</c:v>
                </c:pt>
                <c:pt idx="97">
                  <c:v>-0.36316103153626655</c:v>
                </c:pt>
                <c:pt idx="98">
                  <c:v>-0.37526830684197532</c:v>
                </c:pt>
                <c:pt idx="99">
                  <c:v>-0.38850003172662673</c:v>
                </c:pt>
                <c:pt idx="100">
                  <c:v>-0.4009355315861225</c:v>
                </c:pt>
                <c:pt idx="101">
                  <c:v>-0.41321203143655449</c:v>
                </c:pt>
                <c:pt idx="102">
                  <c:v>-0.42532953127792106</c:v>
                </c:pt>
                <c:pt idx="103">
                  <c:v>-0.4371880311102232</c:v>
                </c:pt>
                <c:pt idx="104">
                  <c:v>-0.44884003045756138</c:v>
                </c:pt>
                <c:pt idx="105">
                  <c:v>-0.4601740297867698</c:v>
                </c:pt>
                <c:pt idx="106">
                  <c:v>-0.471196529582813</c:v>
                </c:pt>
                <c:pt idx="107">
                  <c:v>-0.48197402888029484</c:v>
                </c:pt>
                <c:pt idx="108">
                  <c:v>-0.49233352815964704</c:v>
                </c:pt>
                <c:pt idx="109">
                  <c:v>-0.50237502742086981</c:v>
                </c:pt>
                <c:pt idx="110">
                  <c:v>-0.51197402616086984</c:v>
                </c:pt>
                <c:pt idx="111">
                  <c:v>-0.52120002538130117</c:v>
                </c:pt>
                <c:pt idx="112">
                  <c:v>-0.53000802458360297</c:v>
                </c:pt>
                <c:pt idx="113">
                  <c:v>-0.53839802376777557</c:v>
                </c:pt>
                <c:pt idx="114">
                  <c:v>-0.54628502189137229</c:v>
                </c:pt>
                <c:pt idx="115">
                  <c:v>-0.55368002103022096</c:v>
                </c:pt>
                <c:pt idx="116">
                  <c:v>-0.56065401909036439</c:v>
                </c:pt>
                <c:pt idx="117">
                  <c:v>-0.56703501871870943</c:v>
                </c:pt>
                <c:pt idx="118">
                  <c:v>-0.57293601725928489</c:v>
                </c:pt>
                <c:pt idx="119">
                  <c:v>-0.57832001522878074</c:v>
                </c:pt>
                <c:pt idx="120">
                  <c:v>-0.58318751371043498</c:v>
                </c:pt>
                <c:pt idx="121">
                  <c:v>-0.58747701271784492</c:v>
                </c:pt>
                <c:pt idx="122">
                  <c:v>-0.59127001114964295</c:v>
                </c:pt>
                <c:pt idx="123">
                  <c:v>-0.59442800899223247</c:v>
                </c:pt>
                <c:pt idx="124">
                  <c:v>-0.59708750736510985</c:v>
                </c:pt>
                <c:pt idx="125">
                  <c:v>-0.59925300513971358</c:v>
                </c:pt>
                <c:pt idx="126">
                  <c:v>-0.60077200460489333</c:v>
                </c:pt>
                <c:pt idx="127">
                  <c:v>-0.60160400232057609</c:v>
                </c:pt>
                <c:pt idx="128">
                  <c:v>-0.60205550058467638</c:v>
                </c:pt>
                <c:pt idx="129">
                  <c:v>-0.60185999764316489</c:v>
                </c:pt>
                <c:pt idx="130">
                  <c:v>-0.60095914643619341</c:v>
                </c:pt>
                <c:pt idx="131">
                  <c:v>-0.59965399461553814</c:v>
                </c:pt>
                <c:pt idx="132">
                  <c:v>-0.5977179927663292</c:v>
                </c:pt>
                <c:pt idx="133">
                  <c:v>-0.59505199028258748</c:v>
                </c:pt>
                <c:pt idx="134">
                  <c:v>-0.59194998776258689</c:v>
                </c:pt>
                <c:pt idx="135">
                  <c:v>-0.58812398582273029</c:v>
                </c:pt>
                <c:pt idx="136">
                  <c:v>-0.5837209838556795</c:v>
                </c:pt>
                <c:pt idx="137">
                  <c:v>-0.57874098186143441</c:v>
                </c:pt>
                <c:pt idx="138">
                  <c:v>-0.57303347920999492</c:v>
                </c:pt>
                <c:pt idx="139">
                  <c:v>-0.56678997652229646</c:v>
                </c:pt>
                <c:pt idx="140">
                  <c:v>-0.5599009731592739</c:v>
                </c:pt>
                <c:pt idx="141">
                  <c:v>-0.55227297232531658</c:v>
                </c:pt>
                <c:pt idx="142">
                  <c:v>-0.54408046953790623</c:v>
                </c:pt>
                <c:pt idx="143">
                  <c:v>-0.53510396606157418</c:v>
                </c:pt>
                <c:pt idx="144">
                  <c:v>-0.52555996319711307</c:v>
                </c:pt>
                <c:pt idx="145">
                  <c:v>-0.51527996029639311</c:v>
                </c:pt>
                <c:pt idx="146">
                  <c:v>-0.50433695869193218</c:v>
                </c:pt>
                <c:pt idx="147">
                  <c:v>-0.49257795505696733</c:v>
                </c:pt>
                <c:pt idx="148">
                  <c:v>-0.48016945205200257</c:v>
                </c:pt>
                <c:pt idx="149">
                  <c:v>-0.46709994833092239</c:v>
                </c:pt>
                <c:pt idx="150">
                  <c:v>-0.45323544456451836</c:v>
                </c:pt>
                <c:pt idx="151">
                  <c:v>-0.43852794281955365</c:v>
                </c:pt>
                <c:pt idx="152">
                  <c:v>-0.42317543966955329</c:v>
                </c:pt>
                <c:pt idx="153">
                  <c:v>-0.40700093508732182</c:v>
                </c:pt>
                <c:pt idx="154">
                  <c:v>-0.38999493115322048</c:v>
                </c:pt>
                <c:pt idx="155">
                  <c:v>-0.37219592788084555</c:v>
                </c:pt>
                <c:pt idx="156">
                  <c:v>-0.35356092457221155</c:v>
                </c:pt>
                <c:pt idx="157">
                  <c:v>-0.33408992122731895</c:v>
                </c:pt>
                <c:pt idx="158">
                  <c:v>-0.31380191640487132</c:v>
                </c:pt>
                <c:pt idx="159">
                  <c:v>-0.29269991297839582</c:v>
                </c:pt>
                <c:pt idx="160">
                  <c:v>-0.27076190951566081</c:v>
                </c:pt>
                <c:pt idx="161">
                  <c:v>-0.2479089052824226</c:v>
                </c:pt>
                <c:pt idx="162">
                  <c:v>-0.22295825097349331</c:v>
                </c:pt>
                <c:pt idx="163">
                  <c:v>-0.19961789667997376</c:v>
                </c:pt>
                <c:pt idx="164">
                  <c:v>-0.17416239156292335</c:v>
                </c:pt>
                <c:pt idx="165">
                  <c:v>-0.14794088940097971</c:v>
                </c:pt>
                <c:pt idx="166">
                  <c:v>-0.12069538419328119</c:v>
                </c:pt>
                <c:pt idx="167">
                  <c:v>-9.2751879692632322E-2</c:v>
                </c:pt>
                <c:pt idx="168">
                  <c:v>-6.3948875912631209E-2</c:v>
                </c:pt>
                <c:pt idx="169">
                  <c:v>-3.4379870555364178E-2</c:v>
                </c:pt>
                <c:pt idx="170">
                  <c:v>-4.1293690188890508E-3</c:v>
                </c:pt>
                <c:pt idx="171">
                  <c:v>2.6976135644925847E-2</c:v>
                </c:pt>
                <c:pt idx="172">
                  <c:v>5.8676640354063281E-2</c:v>
                </c:pt>
                <c:pt idx="173">
                  <c:v>9.1073142742625457E-2</c:v>
                </c:pt>
                <c:pt idx="174">
                  <c:v>0.12392514752881301</c:v>
                </c:pt>
                <c:pt idx="175">
                  <c:v>0.15731214837183494</c:v>
                </c:pt>
                <c:pt idx="176">
                  <c:v>0.19111365162154925</c:v>
                </c:pt>
                <c:pt idx="177">
                  <c:v>0.22695537913497699</c:v>
                </c:pt>
                <c:pt idx="178">
                  <c:v>0.25952565495737723</c:v>
                </c:pt>
                <c:pt idx="179">
                  <c:v>0.29392015663888671</c:v>
                </c:pt>
                <c:pt idx="180">
                  <c:v>0.32838415750910421</c:v>
                </c:pt>
                <c:pt idx="181">
                  <c:v>0.36261015672953611</c:v>
                </c:pt>
                <c:pt idx="182">
                  <c:v>0.39661815593183736</c:v>
                </c:pt>
                <c:pt idx="183">
                  <c:v>0.43015215344809565</c:v>
                </c:pt>
                <c:pt idx="184">
                  <c:v>0.46305765176658475</c:v>
                </c:pt>
                <c:pt idx="185">
                  <c:v>0.49519914921485686</c:v>
                </c:pt>
                <c:pt idx="186">
                  <c:v>0.52637164493176325</c:v>
                </c:pt>
                <c:pt idx="187">
                  <c:v>0.55649014059427948</c:v>
                </c:pt>
                <c:pt idx="188">
                  <c:v>0.58537813363255164</c:v>
                </c:pt>
                <c:pt idx="189">
                  <c:v>0.61283012572808815</c:v>
                </c:pt>
                <c:pt idx="190">
                  <c:v>0.63861462206139752</c:v>
                </c:pt>
                <c:pt idx="191">
                  <c:v>0.66268411399830196</c:v>
                </c:pt>
                <c:pt idx="192">
                  <c:v>0.6849331032203132</c:v>
                </c:pt>
                <c:pt idx="193">
                  <c:v>0.70521509232448354</c:v>
                </c:pt>
                <c:pt idx="194">
                  <c:v>0.72415578133166081</c:v>
                </c:pt>
                <c:pt idx="195">
                  <c:v>0.73918807462102576</c:v>
                </c:pt>
                <c:pt idx="196">
                  <c:v>0.7528050625014544</c:v>
                </c:pt>
                <c:pt idx="197">
                  <c:v>0.76399605025497652</c:v>
                </c:pt>
                <c:pt idx="198">
                  <c:v>0.77296103788159232</c:v>
                </c:pt>
                <c:pt idx="199">
                  <c:v>0.77969999999999995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EB-4296-8EB5-F6D40A7D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74800"/>
        <c:axId val="185175280"/>
      </c:scatterChart>
      <c:valAx>
        <c:axId val="18517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5280"/>
        <c:crosses val="autoZero"/>
        <c:crossBetween val="midCat"/>
      </c:valAx>
      <c:valAx>
        <c:axId val="1851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153489</xdr:colOff>
      <xdr:row>4</xdr:row>
      <xdr:rowOff>97427</xdr:rowOff>
    </xdr:from>
    <xdr:to>
      <xdr:col>18</xdr:col>
      <xdr:colOff>461555</xdr:colOff>
      <xdr:row>19</xdr:row>
      <xdr:rowOff>97427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444FE-76C9-360E-E15A-760DC0538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5</xdr:row>
      <xdr:rowOff>136525</xdr:rowOff>
    </xdr:from>
    <xdr:to>
      <xdr:col>26</xdr:col>
      <xdr:colOff>296333</xdr:colOff>
      <xdr:row>19</xdr:row>
      <xdr:rowOff>169333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B6F292-7F3D-DEF1-7825-EF802B212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duino Raw Data Test 4" connectionId="1" xr16:uid="{3D512B16-A794-4876-8EEA-4FE112FE4A7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C0AD892-8ECA-4A52-BD74-E33CA769AD82}" autoFormatId="16" applyNumberFormats="0" applyBorderFormats="0" applyFontFormats="0" applyPatternFormats="0" applyAlignmentFormats="0" applyWidthHeightFormats="0">
  <queryTableRefresh nextId="5">
    <queryTableFields count="4">
      <queryTableField id="1" name="Current Time" tableColumnId="1"/>
      <queryTableField id="2" name="Link AB angVel rad/s" tableColumnId="2"/>
      <queryTableField id="3" name="Link DCE angVel rad/s" tableColumnId="3"/>
      <queryTableField id="4" name="Link CBFG angVel rad/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AEB31-F62E-4EB8-8076-32CC1EE6AD71}" name="Sheet1" displayName="Sheet1" ref="A1:D362" tableType="queryTable" totalsRowShown="0">
  <autoFilter ref="A1:D362" xr:uid="{6D1AEB31-F62E-4EB8-8076-32CC1EE6AD71}"/>
  <tableColumns count="4">
    <tableColumn id="1" xr3:uid="{C7D497D2-459C-44D0-8FB7-FCFF9BCAE993}" uniqueName="1" name="Current Time" queryTableFieldId="1"/>
    <tableColumn id="2" xr3:uid="{58F952A0-FBBC-4676-8FB4-EC370FC82D92}" uniqueName="2" name="Link AB angVel rad/s" queryTableFieldId="2"/>
    <tableColumn id="3" xr3:uid="{F45D9F72-D4B3-436E-94FB-60B614F01B76}" uniqueName="3" name="Link DCE angVel rad/s" queryTableFieldId="3"/>
    <tableColumn id="4" xr3:uid="{BF31DA59-C1E3-4252-9FDD-921C1AC50895}" uniqueName="4" name="Link CBFG angVel rad/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0B71-70D3-462C-9CB8-E2C9C6DE823D}">
  <dimension ref="A1:K490"/>
  <sheetViews>
    <sheetView tabSelected="1" zoomScale="70" workbookViewId="0">
      <selection activeCell="K39" sqref="K39"/>
    </sheetView>
  </sheetViews>
  <sheetFormatPr defaultRowHeight="14.4" x14ac:dyDescent="0.3"/>
  <cols>
    <col min="1" max="1" width="8.44140625" bestFit="1" customWidth="1"/>
    <col min="2" max="3" width="8.44140625" customWidth="1"/>
    <col min="4" max="4" width="10.44140625" bestFit="1" customWidth="1"/>
    <col min="5" max="5" width="13.5546875" bestFit="1" customWidth="1"/>
    <col min="6" max="6" width="10" bestFit="1" customWidth="1"/>
    <col min="7" max="9" width="5.6640625" bestFit="1" customWidth="1"/>
  </cols>
  <sheetData>
    <row r="1" spans="1:9" x14ac:dyDescent="0.3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>
        <v>329</v>
      </c>
      <c r="D2">
        <v>1</v>
      </c>
      <c r="E2">
        <v>1.8</v>
      </c>
      <c r="F2">
        <v>1</v>
      </c>
      <c r="G2">
        <v>-0.01</v>
      </c>
      <c r="H2">
        <v>-0.01</v>
      </c>
      <c r="I2">
        <v>-7.0000000000000007E-2</v>
      </c>
    </row>
    <row r="3" spans="1:9" x14ac:dyDescent="0.3">
      <c r="A3">
        <v>349</v>
      </c>
      <c r="D3">
        <v>2</v>
      </c>
      <c r="E3">
        <v>3.6</v>
      </c>
      <c r="F3">
        <v>1</v>
      </c>
      <c r="G3">
        <v>-0.08</v>
      </c>
      <c r="H3">
        <v>0.28000000000000003</v>
      </c>
      <c r="I3">
        <v>-0.35</v>
      </c>
    </row>
    <row r="4" spans="1:9" x14ac:dyDescent="0.3">
      <c r="A4">
        <v>369</v>
      </c>
      <c r="D4">
        <v>3</v>
      </c>
      <c r="E4">
        <v>5.4</v>
      </c>
      <c r="F4">
        <v>1</v>
      </c>
      <c r="G4">
        <v>0.03</v>
      </c>
      <c r="H4">
        <v>0.18</v>
      </c>
      <c r="I4">
        <v>0.15</v>
      </c>
    </row>
    <row r="5" spans="1:9" x14ac:dyDescent="0.3">
      <c r="A5">
        <v>389</v>
      </c>
      <c r="D5">
        <v>4</v>
      </c>
      <c r="E5">
        <v>7.2</v>
      </c>
      <c r="F5">
        <v>1</v>
      </c>
      <c r="G5">
        <v>-0.33</v>
      </c>
      <c r="H5">
        <v>0.06</v>
      </c>
      <c r="I5">
        <v>-0.17</v>
      </c>
    </row>
    <row r="6" spans="1:9" x14ac:dyDescent="0.3">
      <c r="A6">
        <v>409</v>
      </c>
      <c r="D6">
        <v>5</v>
      </c>
      <c r="E6">
        <v>9</v>
      </c>
      <c r="F6">
        <v>1</v>
      </c>
      <c r="G6">
        <v>-0.36</v>
      </c>
      <c r="H6">
        <v>0.37</v>
      </c>
      <c r="I6">
        <v>-0.33</v>
      </c>
    </row>
    <row r="7" spans="1:9" x14ac:dyDescent="0.3">
      <c r="A7">
        <v>429</v>
      </c>
      <c r="D7">
        <v>6</v>
      </c>
      <c r="E7">
        <v>10.8</v>
      </c>
      <c r="F7">
        <v>1</v>
      </c>
      <c r="G7">
        <v>-0.04</v>
      </c>
      <c r="H7">
        <v>0.02</v>
      </c>
      <c r="I7">
        <v>0</v>
      </c>
    </row>
    <row r="8" spans="1:9" x14ac:dyDescent="0.3">
      <c r="A8">
        <v>449</v>
      </c>
      <c r="D8">
        <v>7</v>
      </c>
      <c r="E8">
        <v>12.6</v>
      </c>
      <c r="F8">
        <v>1</v>
      </c>
      <c r="G8">
        <v>0.52</v>
      </c>
      <c r="H8">
        <v>1</v>
      </c>
      <c r="I8">
        <v>0.41</v>
      </c>
    </row>
    <row r="9" spans="1:9" x14ac:dyDescent="0.3">
      <c r="A9">
        <v>468</v>
      </c>
      <c r="D9">
        <v>8</v>
      </c>
      <c r="E9">
        <v>14.4</v>
      </c>
      <c r="F9">
        <v>1</v>
      </c>
      <c r="G9">
        <v>-0.6</v>
      </c>
      <c r="H9">
        <v>-0.28000000000000003</v>
      </c>
      <c r="I9">
        <v>-0.12</v>
      </c>
    </row>
    <row r="10" spans="1:9" x14ac:dyDescent="0.3">
      <c r="A10">
        <v>489</v>
      </c>
      <c r="D10">
        <v>9</v>
      </c>
      <c r="E10">
        <v>16.2</v>
      </c>
      <c r="F10">
        <v>1</v>
      </c>
      <c r="G10">
        <v>0</v>
      </c>
      <c r="H10">
        <v>0.61</v>
      </c>
      <c r="I10">
        <v>1</v>
      </c>
    </row>
    <row r="11" spans="1:9" x14ac:dyDescent="0.3">
      <c r="A11">
        <v>508</v>
      </c>
      <c r="D11">
        <v>10</v>
      </c>
      <c r="E11">
        <v>18</v>
      </c>
      <c r="F11">
        <v>1</v>
      </c>
      <c r="G11">
        <v>-0.38</v>
      </c>
      <c r="H11">
        <v>1.1499999999999999</v>
      </c>
      <c r="I11">
        <v>-0.03</v>
      </c>
    </row>
    <row r="12" spans="1:9" x14ac:dyDescent="0.3">
      <c r="A12">
        <v>529</v>
      </c>
      <c r="D12">
        <v>11</v>
      </c>
      <c r="E12">
        <v>19.8</v>
      </c>
      <c r="F12">
        <v>1</v>
      </c>
      <c r="G12">
        <v>-0.51</v>
      </c>
      <c r="H12">
        <v>-0.2</v>
      </c>
      <c r="I12">
        <v>0.01</v>
      </c>
    </row>
    <row r="13" spans="1:9" x14ac:dyDescent="0.3">
      <c r="A13">
        <v>548</v>
      </c>
      <c r="D13">
        <v>12</v>
      </c>
      <c r="E13">
        <v>21.6</v>
      </c>
      <c r="F13">
        <v>1</v>
      </c>
      <c r="G13">
        <v>0.53</v>
      </c>
      <c r="H13">
        <v>0.69</v>
      </c>
      <c r="I13">
        <v>0.18</v>
      </c>
    </row>
    <row r="14" spans="1:9" x14ac:dyDescent="0.3">
      <c r="A14">
        <v>569</v>
      </c>
      <c r="D14">
        <v>13</v>
      </c>
      <c r="E14">
        <v>23.4</v>
      </c>
      <c r="F14">
        <v>1</v>
      </c>
      <c r="G14">
        <v>-0.11</v>
      </c>
      <c r="H14">
        <v>0.22</v>
      </c>
      <c r="I14">
        <v>0.19</v>
      </c>
    </row>
    <row r="15" spans="1:9" x14ac:dyDescent="0.3">
      <c r="A15">
        <v>589</v>
      </c>
      <c r="D15">
        <v>14</v>
      </c>
      <c r="E15">
        <v>25.2</v>
      </c>
      <c r="F15">
        <v>1</v>
      </c>
      <c r="G15">
        <v>0.2</v>
      </c>
      <c r="H15">
        <v>0.82</v>
      </c>
      <c r="I15">
        <v>1.0900000000000001</v>
      </c>
    </row>
    <row r="16" spans="1:9" x14ac:dyDescent="0.3">
      <c r="A16">
        <v>609</v>
      </c>
      <c r="D16">
        <v>15</v>
      </c>
      <c r="E16">
        <v>27</v>
      </c>
      <c r="F16">
        <v>1</v>
      </c>
      <c r="G16">
        <v>-1.63</v>
      </c>
      <c r="H16">
        <v>-1.07</v>
      </c>
      <c r="I16">
        <v>-0.67</v>
      </c>
    </row>
    <row r="17" spans="1:9" x14ac:dyDescent="0.3">
      <c r="A17">
        <v>629</v>
      </c>
      <c r="D17">
        <v>16</v>
      </c>
      <c r="E17">
        <v>28.8</v>
      </c>
      <c r="F17">
        <v>1</v>
      </c>
      <c r="G17">
        <v>0.66</v>
      </c>
      <c r="H17">
        <v>1.45</v>
      </c>
      <c r="I17">
        <v>1.02</v>
      </c>
    </row>
    <row r="18" spans="1:9" x14ac:dyDescent="0.3">
      <c r="A18">
        <v>649</v>
      </c>
      <c r="D18">
        <v>17</v>
      </c>
      <c r="E18">
        <v>30.6</v>
      </c>
      <c r="F18">
        <v>1</v>
      </c>
      <c r="G18">
        <v>0.06</v>
      </c>
      <c r="H18">
        <v>0.32</v>
      </c>
      <c r="I18">
        <v>0.54</v>
      </c>
    </row>
    <row r="19" spans="1:9" x14ac:dyDescent="0.3">
      <c r="A19">
        <v>669</v>
      </c>
      <c r="D19">
        <v>18</v>
      </c>
      <c r="E19">
        <v>32.4</v>
      </c>
      <c r="F19">
        <v>1</v>
      </c>
      <c r="G19">
        <v>-0.03</v>
      </c>
      <c r="H19">
        <v>-0.03</v>
      </c>
      <c r="I19">
        <v>-0.03</v>
      </c>
    </row>
    <row r="20" spans="1:9" x14ac:dyDescent="0.3">
      <c r="A20">
        <v>689</v>
      </c>
      <c r="D20">
        <v>19</v>
      </c>
      <c r="E20">
        <v>34.200000000000003</v>
      </c>
      <c r="F20">
        <v>1</v>
      </c>
      <c r="G20">
        <v>-0.47</v>
      </c>
      <c r="H20">
        <v>-0.56000000000000005</v>
      </c>
      <c r="I20">
        <v>0.15</v>
      </c>
    </row>
    <row r="21" spans="1:9" x14ac:dyDescent="0.3">
      <c r="A21">
        <v>709</v>
      </c>
      <c r="D21">
        <v>20</v>
      </c>
      <c r="E21">
        <v>36</v>
      </c>
      <c r="F21">
        <v>1</v>
      </c>
      <c r="G21">
        <v>0.79</v>
      </c>
      <c r="H21">
        <v>1.77</v>
      </c>
      <c r="I21">
        <v>1.07</v>
      </c>
    </row>
    <row r="22" spans="1:9" x14ac:dyDescent="0.3">
      <c r="A22">
        <v>729</v>
      </c>
      <c r="D22">
        <v>21</v>
      </c>
      <c r="E22">
        <v>37.799999999999997</v>
      </c>
      <c r="F22">
        <v>1</v>
      </c>
      <c r="G22">
        <v>-0.19</v>
      </c>
      <c r="H22">
        <v>0.73</v>
      </c>
      <c r="I22">
        <v>-0.05</v>
      </c>
    </row>
    <row r="23" spans="1:9" x14ac:dyDescent="0.3">
      <c r="A23">
        <v>749</v>
      </c>
      <c r="D23">
        <v>22</v>
      </c>
      <c r="E23">
        <v>39.6</v>
      </c>
      <c r="F23">
        <v>1</v>
      </c>
      <c r="G23">
        <v>-0.31</v>
      </c>
      <c r="H23">
        <v>-0.17</v>
      </c>
      <c r="I23">
        <v>0.91</v>
      </c>
    </row>
    <row r="24" spans="1:9" x14ac:dyDescent="0.3">
      <c r="A24">
        <v>769</v>
      </c>
      <c r="D24">
        <v>23</v>
      </c>
      <c r="E24">
        <v>41.4</v>
      </c>
      <c r="F24">
        <v>1</v>
      </c>
      <c r="G24">
        <v>-0.92</v>
      </c>
      <c r="H24">
        <v>-1.0900000000000001</v>
      </c>
      <c r="I24">
        <v>1.37</v>
      </c>
    </row>
    <row r="25" spans="1:9" x14ac:dyDescent="0.3">
      <c r="A25">
        <v>789</v>
      </c>
      <c r="D25">
        <v>24</v>
      </c>
      <c r="E25">
        <v>43.2</v>
      </c>
      <c r="F25">
        <v>1</v>
      </c>
      <c r="G25">
        <v>0.99</v>
      </c>
      <c r="H25">
        <v>1.81</v>
      </c>
      <c r="I25">
        <v>0.69</v>
      </c>
    </row>
    <row r="26" spans="1:9" x14ac:dyDescent="0.3">
      <c r="A26">
        <v>808</v>
      </c>
      <c r="D26">
        <v>25</v>
      </c>
      <c r="E26">
        <v>45</v>
      </c>
      <c r="F26">
        <v>1</v>
      </c>
      <c r="G26">
        <v>-0.17</v>
      </c>
      <c r="H26">
        <v>0.55000000000000004</v>
      </c>
      <c r="I26">
        <v>0.31</v>
      </c>
    </row>
    <row r="27" spans="1:9" x14ac:dyDescent="0.3">
      <c r="A27">
        <v>829</v>
      </c>
      <c r="D27">
        <v>26</v>
      </c>
      <c r="E27">
        <v>46.8</v>
      </c>
      <c r="F27">
        <v>1</v>
      </c>
      <c r="G27">
        <v>-0.95</v>
      </c>
      <c r="H27">
        <v>-0.82</v>
      </c>
      <c r="I27">
        <v>0.16</v>
      </c>
    </row>
    <row r="28" spans="1:9" x14ac:dyDescent="0.3">
      <c r="A28">
        <v>848</v>
      </c>
      <c r="D28">
        <v>27</v>
      </c>
      <c r="E28">
        <v>48.6</v>
      </c>
      <c r="F28">
        <v>1</v>
      </c>
      <c r="G28">
        <v>-0.31</v>
      </c>
      <c r="H28">
        <v>-0.56000000000000005</v>
      </c>
      <c r="I28">
        <v>0.6</v>
      </c>
    </row>
    <row r="29" spans="1:9" x14ac:dyDescent="0.3">
      <c r="A29">
        <v>869</v>
      </c>
      <c r="D29">
        <v>28</v>
      </c>
      <c r="E29">
        <v>50.4</v>
      </c>
      <c r="F29">
        <v>1</v>
      </c>
      <c r="G29">
        <v>0</v>
      </c>
      <c r="H29">
        <v>-0.03</v>
      </c>
      <c r="I29">
        <v>-0.03</v>
      </c>
    </row>
    <row r="30" spans="1:9" x14ac:dyDescent="0.3">
      <c r="A30">
        <v>889</v>
      </c>
      <c r="D30">
        <v>29</v>
      </c>
      <c r="E30">
        <v>52.2</v>
      </c>
      <c r="F30">
        <v>1</v>
      </c>
      <c r="G30">
        <v>0.18</v>
      </c>
      <c r="H30">
        <v>1.02</v>
      </c>
      <c r="I30">
        <v>0.46</v>
      </c>
    </row>
    <row r="31" spans="1:9" x14ac:dyDescent="0.3">
      <c r="A31">
        <v>909</v>
      </c>
      <c r="D31">
        <v>30</v>
      </c>
      <c r="E31">
        <v>54</v>
      </c>
      <c r="F31">
        <v>1</v>
      </c>
      <c r="G31">
        <v>-1.67</v>
      </c>
      <c r="H31">
        <v>-1.97</v>
      </c>
      <c r="I31">
        <v>0.84</v>
      </c>
    </row>
    <row r="32" spans="1:9" x14ac:dyDescent="0.3">
      <c r="A32">
        <v>929</v>
      </c>
      <c r="D32">
        <v>31</v>
      </c>
      <c r="E32">
        <v>55.8</v>
      </c>
      <c r="F32">
        <v>1</v>
      </c>
      <c r="G32">
        <v>0.71</v>
      </c>
      <c r="H32">
        <v>1.06</v>
      </c>
      <c r="I32">
        <v>0.78</v>
      </c>
    </row>
    <row r="33" spans="1:11" x14ac:dyDescent="0.3">
      <c r="A33">
        <v>949</v>
      </c>
      <c r="D33">
        <v>32</v>
      </c>
      <c r="E33">
        <v>57.6</v>
      </c>
      <c r="F33">
        <v>1</v>
      </c>
      <c r="G33">
        <v>-0.54</v>
      </c>
      <c r="H33">
        <v>0.37</v>
      </c>
      <c r="I33">
        <v>1.53</v>
      </c>
    </row>
    <row r="34" spans="1:11" x14ac:dyDescent="0.3">
      <c r="A34">
        <v>969</v>
      </c>
      <c r="D34">
        <v>33</v>
      </c>
      <c r="E34">
        <v>59.4</v>
      </c>
      <c r="F34">
        <v>1</v>
      </c>
      <c r="G34">
        <v>-0.06</v>
      </c>
      <c r="H34">
        <v>1.04</v>
      </c>
      <c r="I34">
        <v>0.48</v>
      </c>
    </row>
    <row r="35" spans="1:11" x14ac:dyDescent="0.3">
      <c r="A35">
        <v>989</v>
      </c>
      <c r="D35">
        <v>34</v>
      </c>
      <c r="E35">
        <v>61.2</v>
      </c>
      <c r="F35">
        <v>1</v>
      </c>
      <c r="G35">
        <v>-1.76</v>
      </c>
      <c r="H35">
        <v>-2.2999999999999998</v>
      </c>
      <c r="I35">
        <v>0.96</v>
      </c>
    </row>
    <row r="36" spans="1:11" x14ac:dyDescent="0.3">
      <c r="A36">
        <v>1009</v>
      </c>
      <c r="D36">
        <v>35</v>
      </c>
      <c r="E36">
        <v>63</v>
      </c>
      <c r="F36">
        <v>1</v>
      </c>
      <c r="G36">
        <v>0.98</v>
      </c>
      <c r="H36">
        <v>1.29</v>
      </c>
      <c r="I36">
        <v>1.03</v>
      </c>
    </row>
    <row r="37" spans="1:11" x14ac:dyDescent="0.3">
      <c r="A37">
        <v>1029</v>
      </c>
      <c r="D37">
        <v>36</v>
      </c>
      <c r="E37">
        <v>64.8</v>
      </c>
      <c r="F37">
        <v>1</v>
      </c>
      <c r="G37">
        <v>-1.57</v>
      </c>
      <c r="H37">
        <v>-0.92</v>
      </c>
      <c r="I37">
        <v>0.95</v>
      </c>
    </row>
    <row r="38" spans="1:11" x14ac:dyDescent="0.3">
      <c r="A38">
        <v>1049</v>
      </c>
      <c r="D38">
        <v>37</v>
      </c>
      <c r="E38">
        <v>66.599999999999994</v>
      </c>
      <c r="F38">
        <v>1</v>
      </c>
      <c r="G38">
        <v>-0.67</v>
      </c>
      <c r="H38">
        <v>-0.14000000000000001</v>
      </c>
      <c r="I38">
        <v>-0.17</v>
      </c>
    </row>
    <row r="39" spans="1:11" x14ac:dyDescent="0.3">
      <c r="A39" s="1">
        <v>1069</v>
      </c>
      <c r="B39" s="1">
        <f>A39-A38</f>
        <v>20</v>
      </c>
      <c r="C39" s="1">
        <f>B39/1000</f>
        <v>0.02</v>
      </c>
      <c r="D39" s="1">
        <v>38</v>
      </c>
      <c r="E39" s="1">
        <v>68.400000000000006</v>
      </c>
      <c r="F39" s="1">
        <v>0</v>
      </c>
      <c r="G39" s="1">
        <v>-0.3</v>
      </c>
      <c r="H39" s="1">
        <v>-0.65</v>
      </c>
      <c r="I39" s="1">
        <v>2.0499999999999998</v>
      </c>
      <c r="J39" s="1"/>
      <c r="K39" s="1"/>
    </row>
    <row r="40" spans="1:11" x14ac:dyDescent="0.3">
      <c r="A40" s="1">
        <v>1089</v>
      </c>
      <c r="B40" s="1">
        <f t="shared" ref="B40:B103" si="0">A40-A39</f>
        <v>20</v>
      </c>
      <c r="C40" s="1">
        <f>B40/1000+C39</f>
        <v>0.04</v>
      </c>
      <c r="D40" s="1">
        <v>39</v>
      </c>
      <c r="E40" s="1">
        <v>70.2</v>
      </c>
      <c r="F40" s="1">
        <v>0</v>
      </c>
      <c r="G40" s="1">
        <v>0.57999999999999996</v>
      </c>
      <c r="H40" s="1">
        <v>1.32</v>
      </c>
      <c r="I40" s="1">
        <v>0.48</v>
      </c>
      <c r="J40" s="1"/>
      <c r="K40" s="1"/>
    </row>
    <row r="41" spans="1:11" x14ac:dyDescent="0.3">
      <c r="A41" s="1">
        <v>1108</v>
      </c>
      <c r="B41" s="1">
        <f t="shared" si="0"/>
        <v>19</v>
      </c>
      <c r="C41" s="1">
        <f t="shared" ref="C41:C104" si="1">B41/1000+C40</f>
        <v>5.8999999999999997E-2</v>
      </c>
      <c r="D41" s="1">
        <v>40</v>
      </c>
      <c r="E41" s="1">
        <v>72</v>
      </c>
      <c r="F41" s="1">
        <v>0</v>
      </c>
      <c r="G41" s="1">
        <v>-0.87</v>
      </c>
      <c r="H41" s="1">
        <v>-0.51</v>
      </c>
      <c r="I41" s="1">
        <v>0.8</v>
      </c>
      <c r="J41" s="1"/>
      <c r="K41" s="1"/>
    </row>
    <row r="42" spans="1:11" x14ac:dyDescent="0.3">
      <c r="A42" s="1">
        <v>1129</v>
      </c>
      <c r="B42" s="1">
        <f t="shared" si="0"/>
        <v>21</v>
      </c>
      <c r="C42" s="1">
        <f t="shared" si="1"/>
        <v>0.08</v>
      </c>
      <c r="D42" s="1">
        <v>41</v>
      </c>
      <c r="E42" s="1">
        <v>73.8</v>
      </c>
      <c r="F42" s="1">
        <v>0</v>
      </c>
      <c r="G42" s="1">
        <v>-0.28000000000000003</v>
      </c>
      <c r="H42" s="1">
        <v>0.01</v>
      </c>
      <c r="I42" s="1">
        <v>0.77</v>
      </c>
      <c r="J42" s="1"/>
      <c r="K42" s="1"/>
    </row>
    <row r="43" spans="1:11" x14ac:dyDescent="0.3">
      <c r="A43" s="1">
        <v>1148</v>
      </c>
      <c r="B43" s="1">
        <f t="shared" si="0"/>
        <v>19</v>
      </c>
      <c r="C43" s="1">
        <f t="shared" si="1"/>
        <v>9.9000000000000005E-2</v>
      </c>
      <c r="D43" s="1">
        <v>42</v>
      </c>
      <c r="E43" s="1">
        <v>75.599999999999994</v>
      </c>
      <c r="F43" s="1">
        <v>0</v>
      </c>
      <c r="G43" s="1">
        <v>-0.11</v>
      </c>
      <c r="H43" s="1">
        <v>0.56999999999999995</v>
      </c>
      <c r="I43" s="1">
        <v>1.53</v>
      </c>
      <c r="J43" s="1"/>
      <c r="K43" s="1"/>
    </row>
    <row r="44" spans="1:11" x14ac:dyDescent="0.3">
      <c r="A44" s="1">
        <v>1169</v>
      </c>
      <c r="B44" s="1">
        <f t="shared" si="0"/>
        <v>21</v>
      </c>
      <c r="C44" s="1">
        <f t="shared" si="1"/>
        <v>0.12000000000000001</v>
      </c>
      <c r="D44" s="1">
        <v>43</v>
      </c>
      <c r="E44" s="1">
        <v>77.400000000000006</v>
      </c>
      <c r="F44" s="1">
        <v>0</v>
      </c>
      <c r="G44" s="1">
        <v>0.5</v>
      </c>
      <c r="H44" s="1">
        <v>-0.31</v>
      </c>
      <c r="I44" s="1">
        <v>-0.24</v>
      </c>
      <c r="J44" s="1"/>
      <c r="K44" s="1"/>
    </row>
    <row r="45" spans="1:11" x14ac:dyDescent="0.3">
      <c r="A45" s="1">
        <v>1189</v>
      </c>
      <c r="B45" s="1">
        <f t="shared" si="0"/>
        <v>20</v>
      </c>
      <c r="C45" s="1">
        <f t="shared" si="1"/>
        <v>0.14000000000000001</v>
      </c>
      <c r="D45" s="1">
        <v>44</v>
      </c>
      <c r="E45" s="1">
        <v>79.2</v>
      </c>
      <c r="F45" s="1">
        <v>0</v>
      </c>
      <c r="G45" s="1">
        <v>-0.64</v>
      </c>
      <c r="H45" s="1">
        <v>0.02</v>
      </c>
      <c r="I45" s="1">
        <v>0.56999999999999995</v>
      </c>
      <c r="J45" s="1"/>
      <c r="K45" s="1"/>
    </row>
    <row r="46" spans="1:11" x14ac:dyDescent="0.3">
      <c r="A46">
        <v>1209</v>
      </c>
      <c r="B46" s="2">
        <f t="shared" si="0"/>
        <v>20</v>
      </c>
      <c r="C46" s="2">
        <f t="shared" si="1"/>
        <v>0.16</v>
      </c>
      <c r="D46">
        <v>45</v>
      </c>
      <c r="E46">
        <v>81</v>
      </c>
      <c r="F46">
        <v>1</v>
      </c>
      <c r="G46">
        <v>0.33</v>
      </c>
      <c r="H46">
        <v>0.23</v>
      </c>
      <c r="I46">
        <v>0.45</v>
      </c>
    </row>
    <row r="47" spans="1:11" x14ac:dyDescent="0.3">
      <c r="A47">
        <v>1229</v>
      </c>
      <c r="B47" s="2">
        <f t="shared" si="0"/>
        <v>20</v>
      </c>
      <c r="C47" s="2">
        <f t="shared" si="1"/>
        <v>0.18</v>
      </c>
      <c r="D47">
        <v>46</v>
      </c>
      <c r="E47">
        <v>82.8</v>
      </c>
      <c r="F47">
        <v>1</v>
      </c>
      <c r="G47">
        <v>-0.31</v>
      </c>
      <c r="H47">
        <v>-0.89</v>
      </c>
      <c r="I47">
        <v>1.19</v>
      </c>
    </row>
    <row r="48" spans="1:11" x14ac:dyDescent="0.3">
      <c r="A48">
        <v>1249</v>
      </c>
      <c r="B48" s="2">
        <f t="shared" si="0"/>
        <v>20</v>
      </c>
      <c r="C48" s="2">
        <f t="shared" si="1"/>
        <v>0.19999999999999998</v>
      </c>
      <c r="D48">
        <v>47</v>
      </c>
      <c r="E48">
        <v>84.6</v>
      </c>
      <c r="F48">
        <v>1</v>
      </c>
      <c r="G48">
        <v>0.37</v>
      </c>
      <c r="H48">
        <v>0.17</v>
      </c>
      <c r="I48">
        <v>0.64</v>
      </c>
    </row>
    <row r="49" spans="1:9" x14ac:dyDescent="0.3">
      <c r="A49">
        <v>1269</v>
      </c>
      <c r="B49" s="2">
        <f t="shared" si="0"/>
        <v>20</v>
      </c>
      <c r="C49" s="2">
        <f t="shared" si="1"/>
        <v>0.21999999999999997</v>
      </c>
      <c r="D49">
        <v>48</v>
      </c>
      <c r="E49">
        <v>86.4</v>
      </c>
      <c r="F49">
        <v>1</v>
      </c>
      <c r="G49">
        <v>-0.17</v>
      </c>
      <c r="H49">
        <v>0.3</v>
      </c>
      <c r="I49">
        <v>0.28999999999999998</v>
      </c>
    </row>
    <row r="50" spans="1:9" x14ac:dyDescent="0.3">
      <c r="A50">
        <v>1289</v>
      </c>
      <c r="B50" s="2">
        <f t="shared" si="0"/>
        <v>20</v>
      </c>
      <c r="C50" s="2">
        <f t="shared" si="1"/>
        <v>0.23999999999999996</v>
      </c>
      <c r="D50">
        <v>49</v>
      </c>
      <c r="E50">
        <v>88.2</v>
      </c>
      <c r="F50">
        <v>1</v>
      </c>
      <c r="G50">
        <v>-0.14000000000000001</v>
      </c>
      <c r="H50">
        <v>-0.51</v>
      </c>
      <c r="I50">
        <v>0.08</v>
      </c>
    </row>
    <row r="51" spans="1:9" x14ac:dyDescent="0.3">
      <c r="A51">
        <v>1309</v>
      </c>
      <c r="B51" s="2">
        <f t="shared" si="0"/>
        <v>20</v>
      </c>
      <c r="C51" s="2">
        <f t="shared" si="1"/>
        <v>0.25999999999999995</v>
      </c>
      <c r="D51">
        <v>50</v>
      </c>
      <c r="E51">
        <v>90</v>
      </c>
      <c r="F51">
        <v>1</v>
      </c>
      <c r="G51">
        <v>-0.28000000000000003</v>
      </c>
      <c r="H51">
        <v>-0.78</v>
      </c>
      <c r="I51">
        <v>1.26</v>
      </c>
    </row>
    <row r="52" spans="1:9" x14ac:dyDescent="0.3">
      <c r="A52">
        <v>1329</v>
      </c>
      <c r="B52" s="2">
        <f t="shared" si="0"/>
        <v>20</v>
      </c>
      <c r="C52" s="2">
        <f t="shared" si="1"/>
        <v>0.27999999999999997</v>
      </c>
      <c r="D52">
        <v>51</v>
      </c>
      <c r="E52">
        <v>91.8</v>
      </c>
      <c r="F52">
        <v>1</v>
      </c>
      <c r="G52">
        <v>0.49</v>
      </c>
      <c r="H52">
        <v>0.2</v>
      </c>
      <c r="I52">
        <v>0.17</v>
      </c>
    </row>
    <row r="53" spans="1:9" x14ac:dyDescent="0.3">
      <c r="A53">
        <v>1349</v>
      </c>
      <c r="B53" s="2">
        <f t="shared" si="0"/>
        <v>20</v>
      </c>
      <c r="C53" s="2">
        <f t="shared" si="1"/>
        <v>0.3</v>
      </c>
      <c r="D53">
        <v>52</v>
      </c>
      <c r="E53">
        <v>93.6</v>
      </c>
      <c r="F53">
        <v>1</v>
      </c>
      <c r="G53">
        <v>0.22</v>
      </c>
      <c r="H53">
        <v>0.59</v>
      </c>
      <c r="I53">
        <v>0.74</v>
      </c>
    </row>
    <row r="54" spans="1:9" x14ac:dyDescent="0.3">
      <c r="A54">
        <v>1369</v>
      </c>
      <c r="B54" s="2">
        <f t="shared" si="0"/>
        <v>20</v>
      </c>
      <c r="C54" s="2">
        <f t="shared" si="1"/>
        <v>0.32</v>
      </c>
      <c r="D54">
        <v>53</v>
      </c>
      <c r="E54">
        <v>95.4</v>
      </c>
      <c r="F54">
        <v>1</v>
      </c>
      <c r="G54">
        <v>-0.3</v>
      </c>
      <c r="H54">
        <v>-0.32</v>
      </c>
      <c r="I54">
        <v>0.08</v>
      </c>
    </row>
    <row r="55" spans="1:9" x14ac:dyDescent="0.3">
      <c r="A55">
        <v>1389</v>
      </c>
      <c r="B55" s="2">
        <f t="shared" si="0"/>
        <v>20</v>
      </c>
      <c r="C55" s="2">
        <f t="shared" si="1"/>
        <v>0.34</v>
      </c>
      <c r="D55">
        <v>54</v>
      </c>
      <c r="E55">
        <v>97.2</v>
      </c>
      <c r="F55">
        <v>1</v>
      </c>
      <c r="G55">
        <v>-0.32</v>
      </c>
      <c r="H55">
        <v>-0.47</v>
      </c>
      <c r="I55">
        <v>1</v>
      </c>
    </row>
    <row r="56" spans="1:9" x14ac:dyDescent="0.3">
      <c r="A56">
        <v>1409</v>
      </c>
      <c r="B56" s="2">
        <f t="shared" si="0"/>
        <v>20</v>
      </c>
      <c r="C56" s="2">
        <f t="shared" si="1"/>
        <v>0.36000000000000004</v>
      </c>
      <c r="D56">
        <v>55</v>
      </c>
      <c r="E56">
        <v>99</v>
      </c>
      <c r="F56">
        <v>1</v>
      </c>
      <c r="G56">
        <v>0.02</v>
      </c>
      <c r="H56">
        <v>-0.02</v>
      </c>
      <c r="I56">
        <v>0.48</v>
      </c>
    </row>
    <row r="57" spans="1:9" x14ac:dyDescent="0.3">
      <c r="A57">
        <v>1429</v>
      </c>
      <c r="B57" s="2">
        <f t="shared" si="0"/>
        <v>20</v>
      </c>
      <c r="C57" s="2">
        <f t="shared" si="1"/>
        <v>0.38000000000000006</v>
      </c>
      <c r="D57">
        <v>56</v>
      </c>
      <c r="E57">
        <v>100.8</v>
      </c>
      <c r="F57">
        <v>1</v>
      </c>
      <c r="G57">
        <v>-0.43</v>
      </c>
      <c r="H57">
        <v>0.36</v>
      </c>
      <c r="I57">
        <v>1.4</v>
      </c>
    </row>
    <row r="58" spans="1:9" x14ac:dyDescent="0.3">
      <c r="A58">
        <v>1448</v>
      </c>
      <c r="B58" s="2">
        <f t="shared" si="0"/>
        <v>19</v>
      </c>
      <c r="C58" s="2">
        <f t="shared" si="1"/>
        <v>0.39900000000000008</v>
      </c>
      <c r="D58">
        <v>57</v>
      </c>
      <c r="E58">
        <v>102.6</v>
      </c>
      <c r="F58">
        <v>1</v>
      </c>
      <c r="G58">
        <v>0.21</v>
      </c>
      <c r="H58">
        <v>0.16</v>
      </c>
      <c r="I58">
        <v>0.52</v>
      </c>
    </row>
    <row r="59" spans="1:9" x14ac:dyDescent="0.3">
      <c r="A59">
        <v>1469</v>
      </c>
      <c r="B59" s="2">
        <f t="shared" si="0"/>
        <v>21</v>
      </c>
      <c r="C59" s="2">
        <f t="shared" si="1"/>
        <v>0.4200000000000001</v>
      </c>
      <c r="D59">
        <v>58</v>
      </c>
      <c r="E59">
        <v>104.4</v>
      </c>
      <c r="F59">
        <v>1</v>
      </c>
      <c r="G59">
        <v>-0.03</v>
      </c>
      <c r="H59">
        <v>-0.01</v>
      </c>
      <c r="I59">
        <v>0.6</v>
      </c>
    </row>
    <row r="60" spans="1:9" x14ac:dyDescent="0.3">
      <c r="A60">
        <v>1489</v>
      </c>
      <c r="B60" s="2">
        <f t="shared" si="0"/>
        <v>20</v>
      </c>
      <c r="C60" s="2">
        <f t="shared" si="1"/>
        <v>0.44000000000000011</v>
      </c>
      <c r="D60">
        <v>59</v>
      </c>
      <c r="E60">
        <v>106.2</v>
      </c>
      <c r="F60">
        <v>1</v>
      </c>
      <c r="G60">
        <v>-0.08</v>
      </c>
      <c r="H60">
        <v>-0.32</v>
      </c>
      <c r="I60">
        <v>0.74</v>
      </c>
    </row>
    <row r="61" spans="1:9" x14ac:dyDescent="0.3">
      <c r="A61">
        <v>1509</v>
      </c>
      <c r="B61" s="2">
        <f t="shared" si="0"/>
        <v>20</v>
      </c>
      <c r="C61" s="2">
        <f t="shared" si="1"/>
        <v>0.46000000000000013</v>
      </c>
      <c r="D61">
        <v>60</v>
      </c>
      <c r="E61">
        <v>108</v>
      </c>
      <c r="F61">
        <v>1</v>
      </c>
      <c r="G61">
        <v>-0.57999999999999996</v>
      </c>
      <c r="H61">
        <v>-0.11</v>
      </c>
      <c r="I61">
        <v>0.95</v>
      </c>
    </row>
    <row r="62" spans="1:9" x14ac:dyDescent="0.3">
      <c r="A62">
        <v>1529</v>
      </c>
      <c r="B62" s="2">
        <f t="shared" si="0"/>
        <v>20</v>
      </c>
      <c r="C62" s="2">
        <f t="shared" si="1"/>
        <v>0.48000000000000015</v>
      </c>
      <c r="D62">
        <v>61</v>
      </c>
      <c r="E62">
        <v>109.8</v>
      </c>
      <c r="F62">
        <v>1</v>
      </c>
      <c r="G62">
        <v>-0.08</v>
      </c>
      <c r="H62">
        <v>0.78</v>
      </c>
      <c r="I62">
        <v>0.2</v>
      </c>
    </row>
    <row r="63" spans="1:9" x14ac:dyDescent="0.3">
      <c r="A63">
        <v>1549</v>
      </c>
      <c r="B63" s="2">
        <f t="shared" si="0"/>
        <v>20</v>
      </c>
      <c r="C63" s="2">
        <f t="shared" si="1"/>
        <v>0.50000000000000011</v>
      </c>
      <c r="D63">
        <v>62</v>
      </c>
      <c r="E63">
        <v>111.6</v>
      </c>
      <c r="F63">
        <v>1</v>
      </c>
      <c r="G63">
        <v>0.2</v>
      </c>
      <c r="H63">
        <v>0.06</v>
      </c>
      <c r="I63">
        <v>0.76</v>
      </c>
    </row>
    <row r="64" spans="1:9" x14ac:dyDescent="0.3">
      <c r="A64">
        <v>1569</v>
      </c>
      <c r="B64" s="2">
        <f t="shared" si="0"/>
        <v>20</v>
      </c>
      <c r="C64" s="2">
        <f t="shared" si="1"/>
        <v>0.52000000000000013</v>
      </c>
      <c r="D64">
        <v>63</v>
      </c>
      <c r="E64">
        <v>113.4</v>
      </c>
      <c r="F64">
        <v>1</v>
      </c>
      <c r="G64">
        <v>-0.42</v>
      </c>
      <c r="H64">
        <v>-0.16</v>
      </c>
      <c r="I64">
        <v>0.7</v>
      </c>
    </row>
    <row r="65" spans="1:9" x14ac:dyDescent="0.3">
      <c r="A65">
        <v>1589</v>
      </c>
      <c r="B65" s="2">
        <f t="shared" si="0"/>
        <v>20</v>
      </c>
      <c r="C65" s="2">
        <f t="shared" si="1"/>
        <v>0.54000000000000015</v>
      </c>
      <c r="D65">
        <v>64</v>
      </c>
      <c r="E65">
        <v>115.2</v>
      </c>
      <c r="F65">
        <v>1</v>
      </c>
      <c r="G65">
        <v>-0.33</v>
      </c>
      <c r="H65">
        <v>0.03</v>
      </c>
      <c r="I65">
        <v>1.32</v>
      </c>
    </row>
    <row r="66" spans="1:9" x14ac:dyDescent="0.3">
      <c r="A66">
        <v>1609</v>
      </c>
      <c r="B66" s="2">
        <f t="shared" si="0"/>
        <v>20</v>
      </c>
      <c r="C66" s="2">
        <f t="shared" si="1"/>
        <v>0.56000000000000016</v>
      </c>
      <c r="D66">
        <v>65</v>
      </c>
      <c r="E66">
        <v>117</v>
      </c>
      <c r="F66">
        <v>1</v>
      </c>
      <c r="G66">
        <v>0.05</v>
      </c>
      <c r="H66">
        <v>0.52</v>
      </c>
      <c r="I66">
        <v>0.68</v>
      </c>
    </row>
    <row r="67" spans="1:9" x14ac:dyDescent="0.3">
      <c r="A67">
        <v>1629</v>
      </c>
      <c r="B67" s="2">
        <f t="shared" si="0"/>
        <v>20</v>
      </c>
      <c r="C67" s="2">
        <f t="shared" si="1"/>
        <v>0.58000000000000018</v>
      </c>
      <c r="D67">
        <v>66</v>
      </c>
      <c r="E67">
        <v>118.8</v>
      </c>
      <c r="F67">
        <v>1</v>
      </c>
      <c r="G67">
        <v>-0.14000000000000001</v>
      </c>
      <c r="H67">
        <v>-0.11</v>
      </c>
      <c r="I67">
        <v>0.76</v>
      </c>
    </row>
    <row r="68" spans="1:9" x14ac:dyDescent="0.3">
      <c r="A68">
        <v>1649</v>
      </c>
      <c r="B68" s="2">
        <f t="shared" si="0"/>
        <v>20</v>
      </c>
      <c r="C68" s="2">
        <f t="shared" si="1"/>
        <v>0.6000000000000002</v>
      </c>
      <c r="D68">
        <v>67</v>
      </c>
      <c r="E68">
        <v>120.6</v>
      </c>
      <c r="F68">
        <v>1</v>
      </c>
      <c r="G68">
        <v>-0.12</v>
      </c>
      <c r="H68">
        <v>0.17</v>
      </c>
      <c r="I68">
        <v>0.4</v>
      </c>
    </row>
    <row r="69" spans="1:9" x14ac:dyDescent="0.3">
      <c r="A69">
        <v>1669</v>
      </c>
      <c r="B69" s="2">
        <f t="shared" si="0"/>
        <v>20</v>
      </c>
      <c r="C69" s="2">
        <f t="shared" si="1"/>
        <v>0.62000000000000022</v>
      </c>
      <c r="D69">
        <v>68</v>
      </c>
      <c r="E69">
        <v>122.4</v>
      </c>
      <c r="F69">
        <v>1</v>
      </c>
      <c r="G69">
        <v>-0.06</v>
      </c>
      <c r="H69">
        <v>0.28000000000000003</v>
      </c>
      <c r="I69">
        <v>0.63</v>
      </c>
    </row>
    <row r="70" spans="1:9" x14ac:dyDescent="0.3">
      <c r="A70">
        <v>1689</v>
      </c>
      <c r="B70" s="2">
        <f t="shared" si="0"/>
        <v>20</v>
      </c>
      <c r="C70" s="2">
        <f t="shared" si="1"/>
        <v>0.64000000000000024</v>
      </c>
      <c r="D70">
        <v>69</v>
      </c>
      <c r="E70">
        <v>124.2</v>
      </c>
      <c r="F70">
        <v>1</v>
      </c>
      <c r="G70">
        <v>-0.23</v>
      </c>
      <c r="H70">
        <v>0.08</v>
      </c>
      <c r="I70">
        <v>0.05</v>
      </c>
    </row>
    <row r="71" spans="1:9" x14ac:dyDescent="0.3">
      <c r="A71">
        <v>1709</v>
      </c>
      <c r="B71" s="2">
        <f t="shared" si="0"/>
        <v>20</v>
      </c>
      <c r="C71" s="2">
        <f t="shared" si="1"/>
        <v>0.66000000000000025</v>
      </c>
      <c r="D71">
        <v>70</v>
      </c>
      <c r="E71">
        <v>126</v>
      </c>
      <c r="F71">
        <v>1</v>
      </c>
      <c r="G71">
        <v>-0.32</v>
      </c>
      <c r="H71">
        <v>-0.21</v>
      </c>
      <c r="I71">
        <v>0.73</v>
      </c>
    </row>
    <row r="72" spans="1:9" x14ac:dyDescent="0.3">
      <c r="A72">
        <v>1729</v>
      </c>
      <c r="B72" s="2">
        <f t="shared" si="0"/>
        <v>20</v>
      </c>
      <c r="C72" s="2">
        <f t="shared" si="1"/>
        <v>0.68000000000000027</v>
      </c>
      <c r="D72">
        <v>71</v>
      </c>
      <c r="E72">
        <v>127.8</v>
      </c>
      <c r="F72">
        <v>1</v>
      </c>
      <c r="G72">
        <v>-0.17</v>
      </c>
      <c r="H72">
        <v>0.44</v>
      </c>
      <c r="I72">
        <v>0.36</v>
      </c>
    </row>
    <row r="73" spans="1:9" x14ac:dyDescent="0.3">
      <c r="A73">
        <v>1748</v>
      </c>
      <c r="B73" s="2">
        <f t="shared" si="0"/>
        <v>19</v>
      </c>
      <c r="C73" s="2">
        <f t="shared" si="1"/>
        <v>0.69900000000000029</v>
      </c>
      <c r="D73">
        <v>72</v>
      </c>
      <c r="E73">
        <v>129.6</v>
      </c>
      <c r="F73">
        <v>1</v>
      </c>
      <c r="G73">
        <v>-0.03</v>
      </c>
      <c r="H73">
        <v>0.42</v>
      </c>
      <c r="I73">
        <v>0.73</v>
      </c>
    </row>
    <row r="74" spans="1:9" x14ac:dyDescent="0.3">
      <c r="A74">
        <v>1769</v>
      </c>
      <c r="B74" s="2">
        <f t="shared" si="0"/>
        <v>21</v>
      </c>
      <c r="C74" s="2">
        <f t="shared" si="1"/>
        <v>0.72000000000000031</v>
      </c>
      <c r="D74">
        <v>73</v>
      </c>
      <c r="E74">
        <v>131.4</v>
      </c>
      <c r="F74">
        <v>1</v>
      </c>
      <c r="G74">
        <v>-0.13</v>
      </c>
      <c r="H74">
        <v>0.71</v>
      </c>
      <c r="I74">
        <v>0.14000000000000001</v>
      </c>
    </row>
    <row r="75" spans="1:9" x14ac:dyDescent="0.3">
      <c r="A75">
        <v>1788</v>
      </c>
      <c r="B75" s="2">
        <f t="shared" si="0"/>
        <v>19</v>
      </c>
      <c r="C75" s="2">
        <f t="shared" si="1"/>
        <v>0.73900000000000032</v>
      </c>
      <c r="D75">
        <v>74</v>
      </c>
      <c r="E75">
        <v>133.19999999999999</v>
      </c>
      <c r="F75">
        <v>1</v>
      </c>
      <c r="G75">
        <v>-0.57999999999999996</v>
      </c>
      <c r="H75">
        <v>-0.38</v>
      </c>
      <c r="I75">
        <v>0.64</v>
      </c>
    </row>
    <row r="76" spans="1:9" x14ac:dyDescent="0.3">
      <c r="A76">
        <v>1809</v>
      </c>
      <c r="B76" s="2">
        <f t="shared" si="0"/>
        <v>21</v>
      </c>
      <c r="C76" s="2">
        <f t="shared" si="1"/>
        <v>0.76000000000000034</v>
      </c>
      <c r="D76">
        <v>75</v>
      </c>
      <c r="E76">
        <v>135</v>
      </c>
      <c r="F76">
        <v>1</v>
      </c>
      <c r="G76">
        <v>7.0000000000000007E-2</v>
      </c>
      <c r="H76">
        <v>0.53</v>
      </c>
      <c r="I76">
        <v>-0.24</v>
      </c>
    </row>
    <row r="77" spans="1:9" x14ac:dyDescent="0.3">
      <c r="A77">
        <v>1829</v>
      </c>
      <c r="B77" s="2">
        <f t="shared" si="0"/>
        <v>20</v>
      </c>
      <c r="C77" s="2">
        <f t="shared" si="1"/>
        <v>0.78000000000000036</v>
      </c>
      <c r="D77">
        <v>76</v>
      </c>
      <c r="E77">
        <v>136.80000000000001</v>
      </c>
      <c r="F77">
        <v>1</v>
      </c>
      <c r="G77">
        <v>-0.06</v>
      </c>
      <c r="H77">
        <v>0.15</v>
      </c>
      <c r="I77">
        <v>0.8</v>
      </c>
    </row>
    <row r="78" spans="1:9" x14ac:dyDescent="0.3">
      <c r="A78">
        <v>1849</v>
      </c>
      <c r="B78" s="2">
        <f t="shared" si="0"/>
        <v>20</v>
      </c>
      <c r="C78" s="2">
        <f t="shared" si="1"/>
        <v>0.80000000000000038</v>
      </c>
      <c r="D78">
        <v>77</v>
      </c>
      <c r="E78">
        <v>138.6</v>
      </c>
      <c r="F78">
        <v>1</v>
      </c>
      <c r="G78">
        <v>-0.26</v>
      </c>
      <c r="H78">
        <v>0.15</v>
      </c>
      <c r="I78">
        <v>-0.56000000000000005</v>
      </c>
    </row>
    <row r="79" spans="1:9" x14ac:dyDescent="0.3">
      <c r="A79">
        <v>1869</v>
      </c>
      <c r="B79" s="2">
        <f t="shared" si="0"/>
        <v>20</v>
      </c>
      <c r="C79" s="2">
        <f t="shared" si="1"/>
        <v>0.8200000000000004</v>
      </c>
      <c r="D79">
        <v>78</v>
      </c>
      <c r="E79">
        <v>140.4</v>
      </c>
      <c r="F79">
        <v>1</v>
      </c>
      <c r="G79">
        <v>0.17</v>
      </c>
      <c r="H79">
        <v>0.08</v>
      </c>
      <c r="I79">
        <v>0.31</v>
      </c>
    </row>
    <row r="80" spans="1:9" x14ac:dyDescent="0.3">
      <c r="A80">
        <v>1889</v>
      </c>
      <c r="B80" s="2">
        <f t="shared" si="0"/>
        <v>20</v>
      </c>
      <c r="C80" s="2">
        <f t="shared" si="1"/>
        <v>0.84000000000000041</v>
      </c>
      <c r="D80">
        <v>79</v>
      </c>
      <c r="E80">
        <v>142.19999999999999</v>
      </c>
      <c r="F80">
        <v>1</v>
      </c>
      <c r="G80">
        <v>-0.16</v>
      </c>
      <c r="H80">
        <v>0.5</v>
      </c>
      <c r="I80">
        <v>-0.44</v>
      </c>
    </row>
    <row r="81" spans="1:9" x14ac:dyDescent="0.3">
      <c r="A81">
        <v>1909</v>
      </c>
      <c r="B81" s="2">
        <f t="shared" si="0"/>
        <v>20</v>
      </c>
      <c r="C81" s="2">
        <f t="shared" si="1"/>
        <v>0.86000000000000043</v>
      </c>
      <c r="D81">
        <v>80</v>
      </c>
      <c r="E81">
        <v>144</v>
      </c>
      <c r="F81">
        <v>1</v>
      </c>
      <c r="G81">
        <v>-0.75</v>
      </c>
      <c r="H81">
        <v>0.01</v>
      </c>
      <c r="I81">
        <v>0.66</v>
      </c>
    </row>
    <row r="82" spans="1:9" x14ac:dyDescent="0.3">
      <c r="A82">
        <v>1929</v>
      </c>
      <c r="B82" s="2">
        <f t="shared" si="0"/>
        <v>20</v>
      </c>
      <c r="C82" s="2">
        <f t="shared" si="1"/>
        <v>0.88000000000000045</v>
      </c>
      <c r="D82">
        <v>81</v>
      </c>
      <c r="E82">
        <v>145.80000000000001</v>
      </c>
      <c r="F82">
        <v>1</v>
      </c>
      <c r="G82">
        <v>0.3</v>
      </c>
      <c r="H82">
        <v>0.19</v>
      </c>
      <c r="I82">
        <v>-7.0000000000000007E-2</v>
      </c>
    </row>
    <row r="83" spans="1:9" x14ac:dyDescent="0.3">
      <c r="A83">
        <v>1949</v>
      </c>
      <c r="B83" s="2">
        <f t="shared" si="0"/>
        <v>20</v>
      </c>
      <c r="C83" s="2">
        <f t="shared" si="1"/>
        <v>0.90000000000000047</v>
      </c>
      <c r="D83">
        <v>82</v>
      </c>
      <c r="E83">
        <v>147.6</v>
      </c>
      <c r="F83">
        <v>1</v>
      </c>
      <c r="G83">
        <v>-0.44</v>
      </c>
      <c r="H83">
        <v>0.56999999999999995</v>
      </c>
      <c r="I83">
        <v>0.56000000000000005</v>
      </c>
    </row>
    <row r="84" spans="1:9" x14ac:dyDescent="0.3">
      <c r="A84">
        <v>1969</v>
      </c>
      <c r="B84" s="2">
        <f t="shared" si="0"/>
        <v>20</v>
      </c>
      <c r="C84" s="2">
        <f t="shared" si="1"/>
        <v>0.92000000000000048</v>
      </c>
      <c r="D84">
        <v>83</v>
      </c>
      <c r="E84">
        <v>149.4</v>
      </c>
      <c r="F84">
        <v>1</v>
      </c>
      <c r="G84">
        <v>-0.18</v>
      </c>
      <c r="H84">
        <v>0.26</v>
      </c>
      <c r="I84">
        <v>-0.1</v>
      </c>
    </row>
    <row r="85" spans="1:9" x14ac:dyDescent="0.3">
      <c r="A85">
        <v>1989</v>
      </c>
      <c r="B85" s="2">
        <f t="shared" si="0"/>
        <v>20</v>
      </c>
      <c r="C85" s="2">
        <f t="shared" si="1"/>
        <v>0.9400000000000005</v>
      </c>
      <c r="D85">
        <v>84</v>
      </c>
      <c r="E85">
        <v>151.19999999999999</v>
      </c>
      <c r="F85">
        <v>1</v>
      </c>
      <c r="G85">
        <v>-0.61</v>
      </c>
      <c r="H85">
        <v>0.23</v>
      </c>
      <c r="I85">
        <v>0.71</v>
      </c>
    </row>
    <row r="86" spans="1:9" x14ac:dyDescent="0.3">
      <c r="A86">
        <v>2009</v>
      </c>
      <c r="B86" s="2">
        <f t="shared" si="0"/>
        <v>20</v>
      </c>
      <c r="C86" s="2">
        <f t="shared" si="1"/>
        <v>0.96000000000000052</v>
      </c>
      <c r="D86">
        <v>85</v>
      </c>
      <c r="E86">
        <v>153</v>
      </c>
      <c r="F86">
        <v>1</v>
      </c>
      <c r="G86">
        <v>0.27</v>
      </c>
      <c r="H86">
        <v>0.16</v>
      </c>
      <c r="I86">
        <v>-0.18</v>
      </c>
    </row>
    <row r="87" spans="1:9" x14ac:dyDescent="0.3">
      <c r="A87">
        <v>2029</v>
      </c>
      <c r="B87" s="2">
        <f t="shared" si="0"/>
        <v>20</v>
      </c>
      <c r="C87" s="2">
        <f t="shared" si="1"/>
        <v>0.98000000000000054</v>
      </c>
      <c r="D87">
        <v>86</v>
      </c>
      <c r="E87">
        <v>154.80000000000001</v>
      </c>
      <c r="F87">
        <v>1</v>
      </c>
      <c r="G87">
        <v>-0.68</v>
      </c>
      <c r="H87">
        <v>0.47</v>
      </c>
      <c r="I87">
        <v>0.44</v>
      </c>
    </row>
    <row r="88" spans="1:9" x14ac:dyDescent="0.3">
      <c r="A88">
        <v>2049</v>
      </c>
      <c r="B88" s="2">
        <f t="shared" si="0"/>
        <v>20</v>
      </c>
      <c r="C88" s="2">
        <f t="shared" si="1"/>
        <v>1.0000000000000004</v>
      </c>
      <c r="D88">
        <v>87</v>
      </c>
      <c r="E88">
        <v>156.6</v>
      </c>
      <c r="F88">
        <v>1</v>
      </c>
      <c r="G88">
        <v>0.02</v>
      </c>
      <c r="H88">
        <v>0.15</v>
      </c>
      <c r="I88">
        <v>-0.32</v>
      </c>
    </row>
    <row r="89" spans="1:9" x14ac:dyDescent="0.3">
      <c r="A89">
        <v>2069</v>
      </c>
      <c r="B89" s="2">
        <f t="shared" si="0"/>
        <v>20</v>
      </c>
      <c r="C89" s="2">
        <f t="shared" si="1"/>
        <v>1.0200000000000005</v>
      </c>
      <c r="D89">
        <v>88</v>
      </c>
      <c r="E89">
        <v>158.4</v>
      </c>
      <c r="F89">
        <v>1</v>
      </c>
      <c r="G89">
        <v>-0.19</v>
      </c>
      <c r="H89">
        <v>0.4</v>
      </c>
      <c r="I89">
        <v>0.38</v>
      </c>
    </row>
    <row r="90" spans="1:9" x14ac:dyDescent="0.3">
      <c r="A90">
        <v>2088</v>
      </c>
      <c r="B90" s="2">
        <f t="shared" si="0"/>
        <v>19</v>
      </c>
      <c r="C90" s="2">
        <f t="shared" si="1"/>
        <v>1.0390000000000004</v>
      </c>
      <c r="D90">
        <v>89</v>
      </c>
      <c r="E90">
        <v>160.19999999999999</v>
      </c>
      <c r="F90">
        <v>1</v>
      </c>
      <c r="G90">
        <v>0.15</v>
      </c>
      <c r="H90">
        <v>-0.69</v>
      </c>
      <c r="I90">
        <v>-0.08</v>
      </c>
    </row>
    <row r="91" spans="1:9" x14ac:dyDescent="0.3">
      <c r="A91">
        <v>2109</v>
      </c>
      <c r="B91" s="2">
        <f t="shared" si="0"/>
        <v>21</v>
      </c>
      <c r="C91" s="2">
        <f t="shared" si="1"/>
        <v>1.0600000000000003</v>
      </c>
      <c r="D91">
        <v>90</v>
      </c>
      <c r="E91">
        <v>162</v>
      </c>
      <c r="F91">
        <v>1</v>
      </c>
      <c r="G91">
        <v>-0.26</v>
      </c>
      <c r="H91">
        <v>0.02</v>
      </c>
      <c r="I91">
        <v>0.4</v>
      </c>
    </row>
    <row r="92" spans="1:9" x14ac:dyDescent="0.3">
      <c r="A92">
        <v>2129</v>
      </c>
      <c r="B92" s="2">
        <f t="shared" si="0"/>
        <v>20</v>
      </c>
      <c r="C92" s="2">
        <f t="shared" si="1"/>
        <v>1.0800000000000003</v>
      </c>
      <c r="D92">
        <v>91</v>
      </c>
      <c r="E92">
        <v>163.80000000000001</v>
      </c>
      <c r="F92">
        <v>1</v>
      </c>
      <c r="G92">
        <v>0.33</v>
      </c>
      <c r="H92">
        <v>-0.34</v>
      </c>
      <c r="I92">
        <v>0.19</v>
      </c>
    </row>
    <row r="93" spans="1:9" x14ac:dyDescent="0.3">
      <c r="A93">
        <v>2149</v>
      </c>
      <c r="B93" s="2">
        <f t="shared" si="0"/>
        <v>20</v>
      </c>
      <c r="C93" s="2">
        <f t="shared" si="1"/>
        <v>1.1000000000000003</v>
      </c>
      <c r="D93">
        <v>92</v>
      </c>
      <c r="E93">
        <v>165.6</v>
      </c>
      <c r="F93">
        <v>1</v>
      </c>
      <c r="G93">
        <v>-0.12</v>
      </c>
      <c r="H93">
        <v>0.15</v>
      </c>
      <c r="I93">
        <v>-0.22</v>
      </c>
    </row>
    <row r="94" spans="1:9" x14ac:dyDescent="0.3">
      <c r="A94">
        <v>2169</v>
      </c>
      <c r="B94" s="2">
        <f t="shared" si="0"/>
        <v>20</v>
      </c>
      <c r="C94" s="2">
        <f t="shared" si="1"/>
        <v>1.1200000000000003</v>
      </c>
      <c r="D94">
        <v>93</v>
      </c>
      <c r="E94">
        <v>167.4</v>
      </c>
      <c r="F94">
        <v>1</v>
      </c>
      <c r="G94">
        <v>7.0000000000000007E-2</v>
      </c>
      <c r="H94">
        <v>-0.27</v>
      </c>
      <c r="I94">
        <v>-0.17</v>
      </c>
    </row>
    <row r="95" spans="1:9" x14ac:dyDescent="0.3">
      <c r="A95">
        <v>2189</v>
      </c>
      <c r="B95" s="2">
        <f t="shared" si="0"/>
        <v>20</v>
      </c>
      <c r="C95" s="2">
        <f t="shared" si="1"/>
        <v>1.1400000000000003</v>
      </c>
      <c r="D95">
        <v>94</v>
      </c>
      <c r="E95">
        <v>169.2</v>
      </c>
      <c r="F95">
        <v>1</v>
      </c>
      <c r="G95">
        <v>-0.26</v>
      </c>
      <c r="H95">
        <v>0.16</v>
      </c>
      <c r="I95">
        <v>-7.0000000000000007E-2</v>
      </c>
    </row>
    <row r="96" spans="1:9" x14ac:dyDescent="0.3">
      <c r="A96">
        <v>2209</v>
      </c>
      <c r="B96" s="2">
        <f t="shared" si="0"/>
        <v>20</v>
      </c>
      <c r="C96" s="2">
        <f t="shared" si="1"/>
        <v>1.1600000000000004</v>
      </c>
      <c r="D96">
        <v>95</v>
      </c>
      <c r="E96">
        <v>171</v>
      </c>
      <c r="F96">
        <v>1</v>
      </c>
      <c r="G96">
        <v>0.25</v>
      </c>
      <c r="H96">
        <v>-0.53</v>
      </c>
      <c r="I96">
        <v>0.18</v>
      </c>
    </row>
    <row r="97" spans="1:9" x14ac:dyDescent="0.3">
      <c r="A97">
        <v>2229</v>
      </c>
      <c r="B97" s="2">
        <f t="shared" si="0"/>
        <v>20</v>
      </c>
      <c r="C97" s="2">
        <f t="shared" si="1"/>
        <v>1.1800000000000004</v>
      </c>
      <c r="D97">
        <v>96</v>
      </c>
      <c r="E97">
        <v>172.8</v>
      </c>
      <c r="F97">
        <v>1</v>
      </c>
      <c r="G97">
        <v>0.06</v>
      </c>
      <c r="H97">
        <v>-0.13</v>
      </c>
      <c r="I97">
        <v>-0.11</v>
      </c>
    </row>
    <row r="98" spans="1:9" x14ac:dyDescent="0.3">
      <c r="A98">
        <v>2249</v>
      </c>
      <c r="B98" s="2">
        <f t="shared" si="0"/>
        <v>20</v>
      </c>
      <c r="C98" s="2">
        <f t="shared" si="1"/>
        <v>1.2000000000000004</v>
      </c>
      <c r="D98">
        <v>97</v>
      </c>
      <c r="E98">
        <v>174.6</v>
      </c>
      <c r="F98">
        <v>1</v>
      </c>
      <c r="G98">
        <v>0.17</v>
      </c>
      <c r="H98">
        <v>-0.01</v>
      </c>
      <c r="I98">
        <v>-0.24</v>
      </c>
    </row>
    <row r="99" spans="1:9" x14ac:dyDescent="0.3">
      <c r="A99">
        <v>2269</v>
      </c>
      <c r="B99" s="2">
        <f t="shared" si="0"/>
        <v>20</v>
      </c>
      <c r="C99" s="2">
        <f t="shared" si="1"/>
        <v>1.2200000000000004</v>
      </c>
      <c r="D99">
        <v>98</v>
      </c>
      <c r="E99">
        <v>176.4</v>
      </c>
      <c r="F99">
        <v>1</v>
      </c>
      <c r="G99">
        <v>-0.1</v>
      </c>
      <c r="H99">
        <v>-7.0000000000000007E-2</v>
      </c>
      <c r="I99">
        <v>-0.27</v>
      </c>
    </row>
    <row r="100" spans="1:9" x14ac:dyDescent="0.3">
      <c r="A100">
        <v>2289</v>
      </c>
      <c r="B100" s="2">
        <f t="shared" si="0"/>
        <v>20</v>
      </c>
      <c r="C100" s="2">
        <f t="shared" si="1"/>
        <v>1.2400000000000004</v>
      </c>
      <c r="D100">
        <v>99</v>
      </c>
      <c r="E100">
        <v>178.2</v>
      </c>
      <c r="F100">
        <v>1</v>
      </c>
      <c r="G100">
        <v>0.19</v>
      </c>
      <c r="H100">
        <v>-0.02</v>
      </c>
      <c r="I100">
        <v>-0.26</v>
      </c>
    </row>
    <row r="101" spans="1:9" x14ac:dyDescent="0.3">
      <c r="A101">
        <v>2309</v>
      </c>
      <c r="B101" s="2">
        <f t="shared" si="0"/>
        <v>20</v>
      </c>
      <c r="C101" s="2">
        <f t="shared" si="1"/>
        <v>1.2600000000000005</v>
      </c>
      <c r="D101">
        <v>100</v>
      </c>
      <c r="E101">
        <v>180</v>
      </c>
      <c r="F101">
        <v>1</v>
      </c>
      <c r="G101">
        <v>0.03</v>
      </c>
      <c r="H101">
        <v>-0.15</v>
      </c>
      <c r="I101">
        <v>-0.25</v>
      </c>
    </row>
    <row r="102" spans="1:9" x14ac:dyDescent="0.3">
      <c r="A102">
        <v>2329</v>
      </c>
      <c r="B102" s="2">
        <f t="shared" si="0"/>
        <v>20</v>
      </c>
      <c r="C102" s="2">
        <f t="shared" si="1"/>
        <v>1.2800000000000005</v>
      </c>
      <c r="D102">
        <v>101</v>
      </c>
      <c r="E102">
        <v>181.8</v>
      </c>
      <c r="F102">
        <v>1</v>
      </c>
      <c r="G102">
        <v>0.11</v>
      </c>
      <c r="H102">
        <v>-0.17</v>
      </c>
      <c r="I102">
        <v>-0.24</v>
      </c>
    </row>
    <row r="103" spans="1:9" x14ac:dyDescent="0.3">
      <c r="A103">
        <v>2349</v>
      </c>
      <c r="B103" s="2">
        <f t="shared" si="0"/>
        <v>20</v>
      </c>
      <c r="C103" s="2">
        <f t="shared" si="1"/>
        <v>1.3000000000000005</v>
      </c>
      <c r="D103">
        <v>102</v>
      </c>
      <c r="E103">
        <v>183.6</v>
      </c>
      <c r="F103">
        <v>1</v>
      </c>
      <c r="G103">
        <v>0.06</v>
      </c>
      <c r="H103">
        <v>-0.1</v>
      </c>
      <c r="I103">
        <v>-0.48</v>
      </c>
    </row>
    <row r="104" spans="1:9" x14ac:dyDescent="0.3">
      <c r="A104">
        <v>2369</v>
      </c>
      <c r="B104" s="2">
        <f t="shared" ref="B104:B167" si="2">A104-A103</f>
        <v>20</v>
      </c>
      <c r="C104" s="2">
        <f t="shared" si="1"/>
        <v>1.3200000000000005</v>
      </c>
      <c r="D104">
        <v>103</v>
      </c>
      <c r="E104">
        <v>185.4</v>
      </c>
      <c r="F104">
        <v>1</v>
      </c>
      <c r="G104">
        <v>0.16</v>
      </c>
      <c r="H104">
        <v>0.22</v>
      </c>
      <c r="I104">
        <v>-0.22</v>
      </c>
    </row>
    <row r="105" spans="1:9" x14ac:dyDescent="0.3">
      <c r="A105">
        <v>2388</v>
      </c>
      <c r="B105" s="2">
        <f t="shared" si="2"/>
        <v>19</v>
      </c>
      <c r="C105" s="2">
        <f t="shared" ref="C105:C168" si="3">B105/1000+C104</f>
        <v>1.3390000000000004</v>
      </c>
      <c r="D105">
        <v>104</v>
      </c>
      <c r="E105">
        <v>187.2</v>
      </c>
      <c r="F105">
        <v>1</v>
      </c>
      <c r="G105">
        <v>-0.09</v>
      </c>
      <c r="H105">
        <v>-0.22</v>
      </c>
      <c r="I105">
        <v>-0.12</v>
      </c>
    </row>
    <row r="106" spans="1:9" x14ac:dyDescent="0.3">
      <c r="A106">
        <v>2409</v>
      </c>
      <c r="B106" s="2">
        <f t="shared" si="2"/>
        <v>21</v>
      </c>
      <c r="C106" s="2">
        <f t="shared" si="3"/>
        <v>1.3600000000000003</v>
      </c>
      <c r="D106">
        <v>105</v>
      </c>
      <c r="E106">
        <v>189</v>
      </c>
      <c r="F106">
        <v>1</v>
      </c>
      <c r="G106">
        <v>0.12</v>
      </c>
      <c r="H106">
        <v>-0.05</v>
      </c>
      <c r="I106">
        <v>-0.1</v>
      </c>
    </row>
    <row r="107" spans="1:9" x14ac:dyDescent="0.3">
      <c r="A107">
        <v>2429</v>
      </c>
      <c r="B107" s="2">
        <f t="shared" si="2"/>
        <v>20</v>
      </c>
      <c r="C107" s="2">
        <f t="shared" si="3"/>
        <v>1.3800000000000003</v>
      </c>
      <c r="D107">
        <v>106</v>
      </c>
      <c r="E107">
        <v>190.8</v>
      </c>
      <c r="F107">
        <v>1</v>
      </c>
      <c r="G107">
        <v>0.16</v>
      </c>
      <c r="H107">
        <v>0.02</v>
      </c>
      <c r="I107">
        <v>-0.47</v>
      </c>
    </row>
    <row r="108" spans="1:9" x14ac:dyDescent="0.3">
      <c r="A108">
        <v>2449</v>
      </c>
      <c r="B108" s="2">
        <f t="shared" si="2"/>
        <v>20</v>
      </c>
      <c r="C108" s="2">
        <f t="shared" si="3"/>
        <v>1.4000000000000004</v>
      </c>
      <c r="D108">
        <v>107</v>
      </c>
      <c r="E108">
        <v>192.6</v>
      </c>
      <c r="F108">
        <v>1</v>
      </c>
      <c r="G108">
        <v>-0.05</v>
      </c>
      <c r="H108">
        <v>-0.08</v>
      </c>
      <c r="I108">
        <v>-0.22</v>
      </c>
    </row>
    <row r="109" spans="1:9" x14ac:dyDescent="0.3">
      <c r="A109">
        <v>2469</v>
      </c>
      <c r="B109" s="2">
        <f t="shared" si="2"/>
        <v>20</v>
      </c>
      <c r="C109" s="2">
        <f t="shared" si="3"/>
        <v>1.4200000000000004</v>
      </c>
      <c r="D109">
        <v>108</v>
      </c>
      <c r="E109">
        <v>194.4</v>
      </c>
      <c r="F109">
        <v>1</v>
      </c>
      <c r="G109">
        <v>7.0000000000000007E-2</v>
      </c>
      <c r="H109">
        <v>-7.0000000000000007E-2</v>
      </c>
      <c r="I109">
        <v>-0.19</v>
      </c>
    </row>
    <row r="110" spans="1:9" x14ac:dyDescent="0.3">
      <c r="A110">
        <v>2489</v>
      </c>
      <c r="B110" s="2">
        <f t="shared" si="2"/>
        <v>20</v>
      </c>
      <c r="C110" s="2">
        <f t="shared" si="3"/>
        <v>1.4400000000000004</v>
      </c>
      <c r="D110">
        <v>109</v>
      </c>
      <c r="E110">
        <v>196.2</v>
      </c>
      <c r="F110">
        <v>1</v>
      </c>
      <c r="G110">
        <v>0.1</v>
      </c>
      <c r="H110">
        <v>0.04</v>
      </c>
      <c r="I110">
        <v>-0.27</v>
      </c>
    </row>
    <row r="111" spans="1:9" x14ac:dyDescent="0.3">
      <c r="A111">
        <v>2509</v>
      </c>
      <c r="B111" s="2">
        <f t="shared" si="2"/>
        <v>20</v>
      </c>
      <c r="C111" s="2">
        <f t="shared" si="3"/>
        <v>1.4600000000000004</v>
      </c>
      <c r="D111">
        <v>110</v>
      </c>
      <c r="E111">
        <v>198</v>
      </c>
      <c r="F111">
        <v>1</v>
      </c>
      <c r="G111">
        <v>0.04</v>
      </c>
      <c r="H111">
        <v>0.06</v>
      </c>
      <c r="I111">
        <v>-0.24</v>
      </c>
    </row>
    <row r="112" spans="1:9" x14ac:dyDescent="0.3">
      <c r="A112">
        <v>2529</v>
      </c>
      <c r="B112" s="2">
        <f t="shared" si="2"/>
        <v>20</v>
      </c>
      <c r="C112" s="2">
        <f t="shared" si="3"/>
        <v>1.4800000000000004</v>
      </c>
      <c r="D112">
        <v>111</v>
      </c>
      <c r="E112">
        <v>199.8</v>
      </c>
      <c r="F112">
        <v>1</v>
      </c>
      <c r="G112">
        <v>-0.01</v>
      </c>
      <c r="H112">
        <v>-0.03</v>
      </c>
      <c r="I112">
        <v>-0.2</v>
      </c>
    </row>
    <row r="113" spans="1:9" x14ac:dyDescent="0.3">
      <c r="A113">
        <v>2549</v>
      </c>
      <c r="B113" s="2">
        <f t="shared" si="2"/>
        <v>20</v>
      </c>
      <c r="C113" s="2">
        <f t="shared" si="3"/>
        <v>1.5000000000000004</v>
      </c>
      <c r="D113">
        <v>112</v>
      </c>
      <c r="E113">
        <v>201.6</v>
      </c>
      <c r="F113">
        <v>1</v>
      </c>
      <c r="G113">
        <v>0.05</v>
      </c>
      <c r="H113">
        <v>7.0000000000000007E-2</v>
      </c>
      <c r="I113">
        <v>-0.26</v>
      </c>
    </row>
    <row r="114" spans="1:9" x14ac:dyDescent="0.3">
      <c r="A114">
        <v>2569</v>
      </c>
      <c r="B114" s="2">
        <f t="shared" si="2"/>
        <v>20</v>
      </c>
      <c r="C114" s="2">
        <f t="shared" si="3"/>
        <v>1.5200000000000005</v>
      </c>
      <c r="D114">
        <v>113</v>
      </c>
      <c r="E114">
        <v>203.4</v>
      </c>
      <c r="F114">
        <v>1</v>
      </c>
      <c r="G114">
        <v>-0.04</v>
      </c>
      <c r="H114">
        <v>0.02</v>
      </c>
      <c r="I114">
        <v>-0.17</v>
      </c>
    </row>
    <row r="115" spans="1:9" x14ac:dyDescent="0.3">
      <c r="A115">
        <v>2589</v>
      </c>
      <c r="B115" s="2">
        <f t="shared" si="2"/>
        <v>20</v>
      </c>
      <c r="C115" s="2">
        <f t="shared" si="3"/>
        <v>1.5400000000000005</v>
      </c>
      <c r="D115">
        <v>114</v>
      </c>
      <c r="E115">
        <v>205.2</v>
      </c>
      <c r="F115">
        <v>1</v>
      </c>
      <c r="G115">
        <v>0.04</v>
      </c>
      <c r="H115">
        <v>7.0000000000000007E-2</v>
      </c>
      <c r="I115">
        <v>-0.42</v>
      </c>
    </row>
    <row r="116" spans="1:9" x14ac:dyDescent="0.3">
      <c r="A116">
        <v>2609</v>
      </c>
      <c r="B116" s="2">
        <f t="shared" si="2"/>
        <v>20</v>
      </c>
      <c r="C116" s="2">
        <f t="shared" si="3"/>
        <v>1.5600000000000005</v>
      </c>
      <c r="D116">
        <v>115</v>
      </c>
      <c r="E116">
        <v>207</v>
      </c>
      <c r="F116">
        <v>1</v>
      </c>
      <c r="G116">
        <v>0.03</v>
      </c>
      <c r="H116">
        <v>-0.16</v>
      </c>
      <c r="I116">
        <v>7.0000000000000007E-2</v>
      </c>
    </row>
    <row r="117" spans="1:9" x14ac:dyDescent="0.3">
      <c r="A117">
        <v>2629</v>
      </c>
      <c r="B117" s="2">
        <f t="shared" si="2"/>
        <v>20</v>
      </c>
      <c r="C117" s="2">
        <f t="shared" si="3"/>
        <v>1.5800000000000005</v>
      </c>
      <c r="D117">
        <v>116</v>
      </c>
      <c r="E117">
        <v>208.8</v>
      </c>
      <c r="F117">
        <v>1</v>
      </c>
      <c r="G117">
        <v>0.06</v>
      </c>
      <c r="H117">
        <v>0.15</v>
      </c>
      <c r="I117">
        <v>-0.39</v>
      </c>
    </row>
    <row r="118" spans="1:9" x14ac:dyDescent="0.3">
      <c r="A118">
        <v>2649</v>
      </c>
      <c r="B118" s="2">
        <f t="shared" si="2"/>
        <v>20</v>
      </c>
      <c r="C118" s="2">
        <f t="shared" si="3"/>
        <v>1.6000000000000005</v>
      </c>
      <c r="D118">
        <v>117</v>
      </c>
      <c r="E118">
        <v>210.6</v>
      </c>
      <c r="F118">
        <v>1</v>
      </c>
      <c r="G118">
        <v>-7.0000000000000007E-2</v>
      </c>
      <c r="H118">
        <v>0.04</v>
      </c>
      <c r="I118">
        <v>-0.25</v>
      </c>
    </row>
    <row r="119" spans="1:9" x14ac:dyDescent="0.3">
      <c r="A119">
        <v>2669</v>
      </c>
      <c r="B119" s="2">
        <f t="shared" si="2"/>
        <v>20</v>
      </c>
      <c r="C119" s="2">
        <f t="shared" si="3"/>
        <v>1.6200000000000006</v>
      </c>
      <c r="D119">
        <v>118</v>
      </c>
      <c r="E119">
        <v>212.4</v>
      </c>
      <c r="F119">
        <v>1</v>
      </c>
      <c r="G119">
        <v>0.17</v>
      </c>
      <c r="H119">
        <v>0.23</v>
      </c>
      <c r="I119">
        <v>-0.36</v>
      </c>
    </row>
    <row r="120" spans="1:9" x14ac:dyDescent="0.3">
      <c r="A120">
        <v>2689</v>
      </c>
      <c r="B120" s="2">
        <f t="shared" si="2"/>
        <v>20</v>
      </c>
      <c r="C120" s="2">
        <f t="shared" si="3"/>
        <v>1.6400000000000006</v>
      </c>
      <c r="D120">
        <v>119</v>
      </c>
      <c r="E120">
        <v>214.2</v>
      </c>
      <c r="F120">
        <v>1</v>
      </c>
      <c r="G120">
        <v>-7.0000000000000007E-2</v>
      </c>
      <c r="H120">
        <v>-0.15</v>
      </c>
      <c r="I120">
        <v>0.01</v>
      </c>
    </row>
    <row r="121" spans="1:9" x14ac:dyDescent="0.3">
      <c r="A121">
        <v>2709</v>
      </c>
      <c r="B121" s="2">
        <f t="shared" si="2"/>
        <v>20</v>
      </c>
      <c r="C121" s="2">
        <f t="shared" si="3"/>
        <v>1.6600000000000006</v>
      </c>
      <c r="D121">
        <v>120</v>
      </c>
      <c r="E121">
        <v>216</v>
      </c>
      <c r="F121">
        <v>1</v>
      </c>
      <c r="G121">
        <v>-0.02</v>
      </c>
      <c r="H121">
        <v>0.08</v>
      </c>
      <c r="I121">
        <v>-0.49</v>
      </c>
    </row>
    <row r="122" spans="1:9" x14ac:dyDescent="0.3">
      <c r="A122">
        <v>2729</v>
      </c>
      <c r="B122" s="2">
        <f t="shared" si="2"/>
        <v>20</v>
      </c>
      <c r="C122" s="2">
        <f t="shared" si="3"/>
        <v>1.6800000000000006</v>
      </c>
      <c r="D122">
        <v>121</v>
      </c>
      <c r="E122">
        <v>217.8</v>
      </c>
      <c r="F122">
        <v>1</v>
      </c>
      <c r="G122">
        <v>0.12</v>
      </c>
      <c r="H122">
        <v>-0.23</v>
      </c>
      <c r="I122">
        <v>-0.15</v>
      </c>
    </row>
    <row r="123" spans="1:9" x14ac:dyDescent="0.3">
      <c r="A123">
        <v>2749</v>
      </c>
      <c r="B123" s="2">
        <f t="shared" si="2"/>
        <v>20</v>
      </c>
      <c r="C123" s="2">
        <f t="shared" si="3"/>
        <v>1.7000000000000006</v>
      </c>
      <c r="D123">
        <v>122</v>
      </c>
      <c r="E123">
        <v>219.6</v>
      </c>
      <c r="F123">
        <v>1</v>
      </c>
      <c r="G123">
        <v>0.06</v>
      </c>
      <c r="H123">
        <v>0.22</v>
      </c>
      <c r="I123">
        <v>-0.48</v>
      </c>
    </row>
    <row r="124" spans="1:9" x14ac:dyDescent="0.3">
      <c r="A124">
        <v>2769</v>
      </c>
      <c r="B124" s="2">
        <f t="shared" si="2"/>
        <v>20</v>
      </c>
      <c r="C124" s="2">
        <f t="shared" si="3"/>
        <v>1.7200000000000006</v>
      </c>
      <c r="D124">
        <v>123</v>
      </c>
      <c r="E124">
        <v>221.4</v>
      </c>
      <c r="F124">
        <v>1</v>
      </c>
      <c r="G124">
        <v>-7.0000000000000007E-2</v>
      </c>
      <c r="H124">
        <v>-0.11</v>
      </c>
      <c r="I124">
        <v>-0.03</v>
      </c>
    </row>
    <row r="125" spans="1:9" x14ac:dyDescent="0.3">
      <c r="A125">
        <v>2789</v>
      </c>
      <c r="B125" s="2">
        <f t="shared" si="2"/>
        <v>20</v>
      </c>
      <c r="C125" s="2">
        <f t="shared" si="3"/>
        <v>1.7400000000000007</v>
      </c>
      <c r="D125">
        <v>124</v>
      </c>
      <c r="E125">
        <v>223.2</v>
      </c>
      <c r="F125">
        <v>1</v>
      </c>
      <c r="G125">
        <v>0.03</v>
      </c>
      <c r="H125">
        <v>0.2</v>
      </c>
      <c r="I125">
        <v>-0.38</v>
      </c>
    </row>
    <row r="126" spans="1:9" x14ac:dyDescent="0.3">
      <c r="A126">
        <v>2809</v>
      </c>
      <c r="B126" s="2">
        <f t="shared" si="2"/>
        <v>20</v>
      </c>
      <c r="C126" s="2">
        <f t="shared" si="3"/>
        <v>1.7600000000000007</v>
      </c>
      <c r="D126">
        <v>125</v>
      </c>
      <c r="E126">
        <v>225</v>
      </c>
      <c r="F126">
        <v>1</v>
      </c>
      <c r="G126">
        <v>0.09</v>
      </c>
      <c r="H126">
        <v>-0.15</v>
      </c>
      <c r="I126">
        <v>-0.52</v>
      </c>
    </row>
    <row r="127" spans="1:9" x14ac:dyDescent="0.3">
      <c r="A127">
        <v>2829</v>
      </c>
      <c r="B127" s="2">
        <f t="shared" si="2"/>
        <v>20</v>
      </c>
      <c r="C127" s="2">
        <f t="shared" si="3"/>
        <v>1.7800000000000007</v>
      </c>
      <c r="D127">
        <v>126</v>
      </c>
      <c r="E127">
        <v>226.8</v>
      </c>
      <c r="F127">
        <v>1</v>
      </c>
      <c r="G127">
        <v>0.14000000000000001</v>
      </c>
      <c r="H127">
        <v>0.03</v>
      </c>
      <c r="I127">
        <v>-0.44</v>
      </c>
    </row>
    <row r="128" spans="1:9" x14ac:dyDescent="0.3">
      <c r="A128">
        <v>2849</v>
      </c>
      <c r="B128" s="2">
        <f t="shared" si="2"/>
        <v>20</v>
      </c>
      <c r="C128" s="2">
        <f t="shared" si="3"/>
        <v>1.8000000000000007</v>
      </c>
      <c r="D128">
        <v>127</v>
      </c>
      <c r="E128">
        <v>228.6</v>
      </c>
      <c r="F128">
        <v>1</v>
      </c>
      <c r="G128">
        <v>0</v>
      </c>
      <c r="H128">
        <v>-0.02</v>
      </c>
      <c r="I128">
        <v>-0.34</v>
      </c>
    </row>
    <row r="129" spans="1:9" x14ac:dyDescent="0.3">
      <c r="A129">
        <v>2869</v>
      </c>
      <c r="B129" s="2">
        <f t="shared" si="2"/>
        <v>20</v>
      </c>
      <c r="C129" s="2">
        <f t="shared" si="3"/>
        <v>1.8200000000000007</v>
      </c>
      <c r="D129">
        <v>128</v>
      </c>
      <c r="E129">
        <v>230.4</v>
      </c>
      <c r="F129">
        <v>1</v>
      </c>
      <c r="G129">
        <v>0.04</v>
      </c>
      <c r="H129">
        <v>-0.05</v>
      </c>
      <c r="I129">
        <v>-0.52</v>
      </c>
    </row>
    <row r="130" spans="1:9" x14ac:dyDescent="0.3">
      <c r="A130">
        <v>2889</v>
      </c>
      <c r="B130" s="2">
        <f t="shared" si="2"/>
        <v>20</v>
      </c>
      <c r="C130" s="2">
        <f t="shared" si="3"/>
        <v>1.8400000000000007</v>
      </c>
      <c r="D130">
        <v>129</v>
      </c>
      <c r="E130">
        <v>232.2</v>
      </c>
      <c r="F130">
        <v>1</v>
      </c>
      <c r="G130">
        <v>0.19</v>
      </c>
      <c r="H130">
        <v>0</v>
      </c>
      <c r="I130">
        <v>-0.42</v>
      </c>
    </row>
    <row r="131" spans="1:9" x14ac:dyDescent="0.3">
      <c r="A131">
        <v>2909</v>
      </c>
      <c r="B131" s="2">
        <f t="shared" si="2"/>
        <v>20</v>
      </c>
      <c r="C131" s="2">
        <f t="shared" si="3"/>
        <v>1.8600000000000008</v>
      </c>
      <c r="D131">
        <v>130</v>
      </c>
      <c r="E131">
        <v>234</v>
      </c>
      <c r="F131">
        <v>1</v>
      </c>
      <c r="G131">
        <v>-0.02</v>
      </c>
      <c r="H131">
        <v>0</v>
      </c>
      <c r="I131">
        <v>-0.6</v>
      </c>
    </row>
    <row r="132" spans="1:9" x14ac:dyDescent="0.3">
      <c r="A132">
        <v>2929</v>
      </c>
      <c r="B132" s="2">
        <f t="shared" si="2"/>
        <v>20</v>
      </c>
      <c r="C132" s="2">
        <f t="shared" si="3"/>
        <v>1.8800000000000008</v>
      </c>
      <c r="D132">
        <v>131</v>
      </c>
      <c r="E132">
        <v>235.8</v>
      </c>
      <c r="F132">
        <v>1</v>
      </c>
      <c r="G132">
        <v>0</v>
      </c>
      <c r="H132">
        <v>-0.21</v>
      </c>
      <c r="I132">
        <v>-0.59</v>
      </c>
    </row>
    <row r="133" spans="1:9" x14ac:dyDescent="0.3">
      <c r="A133">
        <v>2949</v>
      </c>
      <c r="B133" s="2">
        <f t="shared" si="2"/>
        <v>20</v>
      </c>
      <c r="C133" s="2">
        <f t="shared" si="3"/>
        <v>1.9000000000000008</v>
      </c>
      <c r="D133">
        <v>132</v>
      </c>
      <c r="E133">
        <v>237.6</v>
      </c>
      <c r="F133">
        <v>1</v>
      </c>
      <c r="G133">
        <v>0.18</v>
      </c>
      <c r="H133">
        <v>0.13</v>
      </c>
      <c r="I133">
        <v>-0.38</v>
      </c>
    </row>
    <row r="134" spans="1:9" x14ac:dyDescent="0.3">
      <c r="A134">
        <v>2969</v>
      </c>
      <c r="B134" s="2">
        <f t="shared" si="2"/>
        <v>20</v>
      </c>
      <c r="C134" s="2">
        <f t="shared" si="3"/>
        <v>1.9200000000000008</v>
      </c>
      <c r="D134">
        <v>133</v>
      </c>
      <c r="E134">
        <v>239.4</v>
      </c>
      <c r="F134">
        <v>1</v>
      </c>
      <c r="G134">
        <v>0.17</v>
      </c>
      <c r="H134">
        <v>-0.02</v>
      </c>
      <c r="I134">
        <v>-0.61</v>
      </c>
    </row>
    <row r="135" spans="1:9" x14ac:dyDescent="0.3">
      <c r="A135">
        <v>2989</v>
      </c>
      <c r="B135" s="2">
        <f t="shared" si="2"/>
        <v>20</v>
      </c>
      <c r="C135" s="2">
        <f t="shared" si="3"/>
        <v>1.9400000000000008</v>
      </c>
      <c r="D135">
        <v>134</v>
      </c>
      <c r="E135">
        <v>241.2</v>
      </c>
      <c r="F135">
        <v>1</v>
      </c>
      <c r="G135">
        <v>-0.01</v>
      </c>
      <c r="H135">
        <v>0.06</v>
      </c>
      <c r="I135">
        <v>-0.6</v>
      </c>
    </row>
    <row r="136" spans="1:9" x14ac:dyDescent="0.3">
      <c r="A136">
        <v>3009</v>
      </c>
      <c r="B136" s="2">
        <f t="shared" si="2"/>
        <v>20</v>
      </c>
      <c r="C136" s="2">
        <f t="shared" si="3"/>
        <v>1.9600000000000009</v>
      </c>
      <c r="D136">
        <v>135</v>
      </c>
      <c r="E136">
        <v>243</v>
      </c>
      <c r="F136">
        <v>1</v>
      </c>
      <c r="G136">
        <v>0.2</v>
      </c>
      <c r="H136">
        <v>-0.11</v>
      </c>
      <c r="I136">
        <v>-0.47</v>
      </c>
    </row>
    <row r="137" spans="1:9" x14ac:dyDescent="0.3">
      <c r="A137">
        <v>3028</v>
      </c>
      <c r="B137" s="2">
        <f t="shared" si="2"/>
        <v>19</v>
      </c>
      <c r="C137" s="2">
        <f t="shared" si="3"/>
        <v>1.9790000000000008</v>
      </c>
      <c r="D137">
        <v>136</v>
      </c>
      <c r="E137">
        <v>244.8</v>
      </c>
      <c r="F137">
        <v>1</v>
      </c>
      <c r="G137">
        <v>-0.01</v>
      </c>
      <c r="H137">
        <v>-0.12</v>
      </c>
      <c r="I137">
        <v>-0.59</v>
      </c>
    </row>
    <row r="138" spans="1:9" x14ac:dyDescent="0.3">
      <c r="A138">
        <v>3049</v>
      </c>
      <c r="B138" s="2">
        <f t="shared" si="2"/>
        <v>21</v>
      </c>
      <c r="C138" s="2">
        <f t="shared" si="3"/>
        <v>2.0000000000000009</v>
      </c>
      <c r="D138">
        <v>137</v>
      </c>
      <c r="E138">
        <v>246.6</v>
      </c>
      <c r="F138">
        <v>1</v>
      </c>
      <c r="G138">
        <v>-0.08</v>
      </c>
      <c r="H138">
        <v>0.15</v>
      </c>
      <c r="I138">
        <v>-0.69</v>
      </c>
    </row>
    <row r="139" spans="1:9" x14ac:dyDescent="0.3">
      <c r="A139">
        <v>3069</v>
      </c>
      <c r="B139" s="2">
        <f t="shared" si="2"/>
        <v>20</v>
      </c>
      <c r="C139" s="2">
        <f t="shared" si="3"/>
        <v>2.0200000000000009</v>
      </c>
      <c r="D139">
        <v>138</v>
      </c>
      <c r="E139">
        <v>248.4</v>
      </c>
      <c r="F139">
        <v>1</v>
      </c>
      <c r="G139">
        <v>0.12</v>
      </c>
      <c r="H139">
        <v>-0.1</v>
      </c>
      <c r="I139">
        <v>-0.54</v>
      </c>
    </row>
    <row r="140" spans="1:9" x14ac:dyDescent="0.3">
      <c r="A140">
        <v>3089</v>
      </c>
      <c r="B140" s="2">
        <f t="shared" si="2"/>
        <v>20</v>
      </c>
      <c r="C140" s="2">
        <f t="shared" si="3"/>
        <v>2.0400000000000009</v>
      </c>
      <c r="D140">
        <v>139</v>
      </c>
      <c r="E140">
        <v>250.2</v>
      </c>
      <c r="F140">
        <v>1</v>
      </c>
      <c r="G140">
        <v>0.17</v>
      </c>
      <c r="H140">
        <v>-0.05</v>
      </c>
      <c r="I140">
        <v>-0.6</v>
      </c>
    </row>
    <row r="141" spans="1:9" x14ac:dyDescent="0.3">
      <c r="A141">
        <v>3109</v>
      </c>
      <c r="B141" s="2">
        <f t="shared" si="2"/>
        <v>20</v>
      </c>
      <c r="C141" s="2">
        <f t="shared" si="3"/>
        <v>2.0600000000000009</v>
      </c>
      <c r="D141">
        <v>140</v>
      </c>
      <c r="E141">
        <v>252</v>
      </c>
      <c r="F141">
        <v>1</v>
      </c>
      <c r="G141">
        <v>0.02</v>
      </c>
      <c r="H141">
        <v>0.03</v>
      </c>
      <c r="I141">
        <v>-0.51</v>
      </c>
    </row>
    <row r="142" spans="1:9" x14ac:dyDescent="0.3">
      <c r="A142">
        <v>3129</v>
      </c>
      <c r="B142" s="2">
        <f t="shared" si="2"/>
        <v>20</v>
      </c>
      <c r="C142" s="2">
        <f t="shared" si="3"/>
        <v>2.080000000000001</v>
      </c>
      <c r="D142">
        <v>141</v>
      </c>
      <c r="E142">
        <v>253.8</v>
      </c>
      <c r="F142">
        <v>1</v>
      </c>
      <c r="G142">
        <v>0.03</v>
      </c>
      <c r="H142">
        <v>0.09</v>
      </c>
      <c r="I142">
        <v>-0.84</v>
      </c>
    </row>
    <row r="143" spans="1:9" x14ac:dyDescent="0.3">
      <c r="A143">
        <v>3149</v>
      </c>
      <c r="B143" s="2">
        <f t="shared" si="2"/>
        <v>20</v>
      </c>
      <c r="C143" s="2">
        <f t="shared" si="3"/>
        <v>2.100000000000001</v>
      </c>
      <c r="D143">
        <v>142</v>
      </c>
      <c r="E143">
        <v>255.6</v>
      </c>
      <c r="F143">
        <v>1</v>
      </c>
      <c r="G143">
        <v>-0.1</v>
      </c>
      <c r="H143">
        <v>0.11</v>
      </c>
      <c r="I143">
        <v>-0.71</v>
      </c>
    </row>
    <row r="144" spans="1:9" x14ac:dyDescent="0.3">
      <c r="A144">
        <v>3169</v>
      </c>
      <c r="B144" s="2">
        <f t="shared" si="2"/>
        <v>20</v>
      </c>
      <c r="C144" s="2">
        <f t="shared" si="3"/>
        <v>2.120000000000001</v>
      </c>
      <c r="D144">
        <v>143</v>
      </c>
      <c r="E144">
        <v>257.39999999999998</v>
      </c>
      <c r="F144">
        <v>1</v>
      </c>
      <c r="G144">
        <v>0.13</v>
      </c>
      <c r="H144">
        <v>-0.22</v>
      </c>
      <c r="I144">
        <v>-0.49</v>
      </c>
    </row>
    <row r="145" spans="1:9" x14ac:dyDescent="0.3">
      <c r="A145">
        <v>3189</v>
      </c>
      <c r="B145" s="2">
        <f t="shared" si="2"/>
        <v>20</v>
      </c>
      <c r="C145" s="2">
        <f t="shared" si="3"/>
        <v>2.140000000000001</v>
      </c>
      <c r="D145">
        <v>144</v>
      </c>
      <c r="E145">
        <v>259.2</v>
      </c>
      <c r="F145">
        <v>1</v>
      </c>
      <c r="G145">
        <v>0.16</v>
      </c>
      <c r="H145">
        <v>0.26</v>
      </c>
      <c r="I145">
        <v>-0.53</v>
      </c>
    </row>
    <row r="146" spans="1:9" x14ac:dyDescent="0.3">
      <c r="A146">
        <v>3209</v>
      </c>
      <c r="B146" s="2">
        <f t="shared" si="2"/>
        <v>20</v>
      </c>
      <c r="C146" s="2">
        <f t="shared" si="3"/>
        <v>2.160000000000001</v>
      </c>
      <c r="D146">
        <v>145</v>
      </c>
      <c r="E146">
        <v>261</v>
      </c>
      <c r="F146">
        <v>1</v>
      </c>
      <c r="G146">
        <v>0</v>
      </c>
      <c r="H146">
        <v>0.06</v>
      </c>
      <c r="I146">
        <v>-0.59</v>
      </c>
    </row>
    <row r="147" spans="1:9" x14ac:dyDescent="0.3">
      <c r="A147">
        <v>3229</v>
      </c>
      <c r="B147" s="2">
        <f t="shared" si="2"/>
        <v>20</v>
      </c>
      <c r="C147" s="2">
        <f t="shared" si="3"/>
        <v>2.180000000000001</v>
      </c>
      <c r="D147">
        <v>146</v>
      </c>
      <c r="E147">
        <v>262.8</v>
      </c>
      <c r="F147">
        <v>1</v>
      </c>
      <c r="G147">
        <v>-0.13</v>
      </c>
      <c r="H147">
        <v>0.08</v>
      </c>
      <c r="I147">
        <v>-0.83</v>
      </c>
    </row>
    <row r="148" spans="1:9" x14ac:dyDescent="0.3">
      <c r="A148">
        <v>3249</v>
      </c>
      <c r="B148" s="2">
        <f t="shared" si="2"/>
        <v>20</v>
      </c>
      <c r="C148" s="2">
        <f t="shared" si="3"/>
        <v>2.2000000000000011</v>
      </c>
      <c r="D148">
        <v>147</v>
      </c>
      <c r="E148">
        <v>264.60000000000002</v>
      </c>
      <c r="F148">
        <v>1</v>
      </c>
      <c r="G148">
        <v>-0.34</v>
      </c>
      <c r="H148">
        <v>-0.03</v>
      </c>
      <c r="I148">
        <v>-0.03</v>
      </c>
    </row>
    <row r="149" spans="1:9" x14ac:dyDescent="0.3">
      <c r="A149">
        <v>3269</v>
      </c>
      <c r="B149" s="2">
        <f t="shared" si="2"/>
        <v>20</v>
      </c>
      <c r="C149" s="2">
        <f t="shared" si="3"/>
        <v>2.2200000000000011</v>
      </c>
      <c r="D149">
        <v>148</v>
      </c>
      <c r="E149">
        <v>266.39999999999998</v>
      </c>
      <c r="F149">
        <v>1</v>
      </c>
      <c r="G149">
        <v>0.33</v>
      </c>
      <c r="H149">
        <v>0.2</v>
      </c>
      <c r="I149">
        <v>-0.51</v>
      </c>
    </row>
    <row r="150" spans="1:9" x14ac:dyDescent="0.3">
      <c r="A150">
        <v>3289</v>
      </c>
      <c r="B150" s="2">
        <f t="shared" si="2"/>
        <v>20</v>
      </c>
      <c r="C150" s="2">
        <f t="shared" si="3"/>
        <v>2.2400000000000011</v>
      </c>
      <c r="D150">
        <v>149</v>
      </c>
      <c r="E150">
        <v>268.2</v>
      </c>
      <c r="F150">
        <v>1</v>
      </c>
      <c r="G150">
        <v>0.2</v>
      </c>
      <c r="H150">
        <v>0.1</v>
      </c>
      <c r="I150">
        <v>-0.36</v>
      </c>
    </row>
    <row r="151" spans="1:9" x14ac:dyDescent="0.3">
      <c r="A151">
        <v>3309</v>
      </c>
      <c r="B151" s="2">
        <f t="shared" si="2"/>
        <v>20</v>
      </c>
      <c r="C151" s="2">
        <f t="shared" si="3"/>
        <v>2.2600000000000011</v>
      </c>
      <c r="D151">
        <v>150</v>
      </c>
      <c r="E151">
        <v>270</v>
      </c>
      <c r="F151">
        <v>1</v>
      </c>
      <c r="G151">
        <v>-0.04</v>
      </c>
      <c r="H151">
        <v>0.03</v>
      </c>
      <c r="I151">
        <v>-0.68</v>
      </c>
    </row>
    <row r="152" spans="1:9" x14ac:dyDescent="0.3">
      <c r="A152">
        <v>3329</v>
      </c>
      <c r="B152" s="2">
        <f t="shared" si="2"/>
        <v>20</v>
      </c>
      <c r="C152" s="2">
        <f t="shared" si="3"/>
        <v>2.2800000000000011</v>
      </c>
      <c r="D152">
        <v>151</v>
      </c>
      <c r="E152">
        <v>271.8</v>
      </c>
      <c r="F152">
        <v>1</v>
      </c>
      <c r="G152">
        <v>-0.21</v>
      </c>
      <c r="H152">
        <v>-0.18</v>
      </c>
      <c r="I152">
        <v>-0.71</v>
      </c>
    </row>
    <row r="153" spans="1:9" x14ac:dyDescent="0.3">
      <c r="A153">
        <v>3349</v>
      </c>
      <c r="B153" s="2">
        <f t="shared" si="2"/>
        <v>20</v>
      </c>
      <c r="C153" s="2">
        <f t="shared" si="3"/>
        <v>2.3000000000000012</v>
      </c>
      <c r="D153">
        <v>152</v>
      </c>
      <c r="E153">
        <v>273.60000000000002</v>
      </c>
      <c r="F153">
        <v>1</v>
      </c>
      <c r="G153">
        <v>0.18</v>
      </c>
      <c r="H153">
        <v>0.16</v>
      </c>
      <c r="I153">
        <v>-0.59</v>
      </c>
    </row>
    <row r="154" spans="1:9" x14ac:dyDescent="0.3">
      <c r="A154">
        <v>3369</v>
      </c>
      <c r="B154" s="2">
        <f t="shared" si="2"/>
        <v>20</v>
      </c>
      <c r="C154" s="2">
        <f t="shared" si="3"/>
        <v>2.3200000000000012</v>
      </c>
      <c r="D154">
        <v>153</v>
      </c>
      <c r="E154">
        <v>275.39999999999998</v>
      </c>
      <c r="F154">
        <v>1</v>
      </c>
      <c r="G154">
        <v>0.02</v>
      </c>
      <c r="H154">
        <v>0.19</v>
      </c>
      <c r="I154">
        <v>-0.59</v>
      </c>
    </row>
    <row r="155" spans="1:9" x14ac:dyDescent="0.3">
      <c r="A155">
        <v>3389</v>
      </c>
      <c r="B155" s="2">
        <f t="shared" si="2"/>
        <v>20</v>
      </c>
      <c r="C155" s="2">
        <f t="shared" si="3"/>
        <v>2.3400000000000012</v>
      </c>
      <c r="D155">
        <v>154</v>
      </c>
      <c r="E155">
        <v>277.2</v>
      </c>
      <c r="F155">
        <v>1</v>
      </c>
      <c r="G155">
        <v>-0.06</v>
      </c>
      <c r="H155">
        <v>-0.1</v>
      </c>
      <c r="I155">
        <v>-0.51</v>
      </c>
    </row>
    <row r="156" spans="1:9" x14ac:dyDescent="0.3">
      <c r="A156">
        <v>3409</v>
      </c>
      <c r="B156" s="2">
        <f t="shared" si="2"/>
        <v>20</v>
      </c>
      <c r="C156" s="2">
        <f t="shared" si="3"/>
        <v>2.3600000000000012</v>
      </c>
      <c r="D156">
        <v>155</v>
      </c>
      <c r="E156">
        <v>279</v>
      </c>
      <c r="F156">
        <v>1</v>
      </c>
      <c r="G156">
        <v>-4.26</v>
      </c>
      <c r="H156">
        <v>0.08</v>
      </c>
      <c r="I156">
        <v>0.08</v>
      </c>
    </row>
    <row r="157" spans="1:9" x14ac:dyDescent="0.3">
      <c r="A157">
        <v>3429</v>
      </c>
      <c r="B157" s="2">
        <f t="shared" si="2"/>
        <v>20</v>
      </c>
      <c r="C157" s="2">
        <f t="shared" si="3"/>
        <v>2.3800000000000012</v>
      </c>
      <c r="D157">
        <v>156</v>
      </c>
      <c r="E157">
        <v>280.8</v>
      </c>
      <c r="F157">
        <v>1</v>
      </c>
      <c r="G157">
        <v>0.1</v>
      </c>
      <c r="H157">
        <v>0.21</v>
      </c>
      <c r="I157">
        <v>-0.72</v>
      </c>
    </row>
    <row r="158" spans="1:9" x14ac:dyDescent="0.3">
      <c r="A158">
        <v>3449</v>
      </c>
      <c r="B158" s="2">
        <f t="shared" si="2"/>
        <v>20</v>
      </c>
      <c r="C158" s="2">
        <f t="shared" si="3"/>
        <v>2.4000000000000012</v>
      </c>
      <c r="D158">
        <v>157</v>
      </c>
      <c r="E158">
        <v>282.60000000000002</v>
      </c>
      <c r="F158">
        <v>1</v>
      </c>
      <c r="G158">
        <v>-0.01</v>
      </c>
      <c r="H158">
        <v>-0.04</v>
      </c>
      <c r="I158">
        <v>-0.7</v>
      </c>
    </row>
    <row r="159" spans="1:9" x14ac:dyDescent="0.3">
      <c r="A159">
        <v>3469</v>
      </c>
      <c r="B159" s="2">
        <f t="shared" si="2"/>
        <v>20</v>
      </c>
      <c r="C159" s="2">
        <f t="shared" si="3"/>
        <v>2.4200000000000013</v>
      </c>
      <c r="D159">
        <v>158</v>
      </c>
      <c r="E159">
        <v>284.39999999999998</v>
      </c>
      <c r="F159">
        <v>1</v>
      </c>
      <c r="G159">
        <v>-0.08</v>
      </c>
      <c r="H159">
        <v>-0.15</v>
      </c>
      <c r="I159">
        <v>-0.75</v>
      </c>
    </row>
    <row r="160" spans="1:9" x14ac:dyDescent="0.3">
      <c r="A160">
        <v>3489</v>
      </c>
      <c r="B160" s="2">
        <f t="shared" si="2"/>
        <v>20</v>
      </c>
      <c r="C160" s="2">
        <f t="shared" si="3"/>
        <v>2.4400000000000013</v>
      </c>
      <c r="D160">
        <v>159</v>
      </c>
      <c r="E160">
        <v>286.2</v>
      </c>
      <c r="F160">
        <v>1</v>
      </c>
      <c r="G160">
        <v>0.19</v>
      </c>
      <c r="H160">
        <v>0.16</v>
      </c>
      <c r="I160">
        <v>-0.5</v>
      </c>
    </row>
    <row r="161" spans="1:9" x14ac:dyDescent="0.3">
      <c r="A161">
        <v>3509</v>
      </c>
      <c r="B161" s="2">
        <f t="shared" si="2"/>
        <v>20</v>
      </c>
      <c r="C161" s="2">
        <f t="shared" si="3"/>
        <v>2.4600000000000013</v>
      </c>
      <c r="D161">
        <v>160</v>
      </c>
      <c r="E161">
        <v>288</v>
      </c>
      <c r="F161">
        <v>1</v>
      </c>
      <c r="G161">
        <v>0.13</v>
      </c>
      <c r="H161">
        <v>0.33</v>
      </c>
      <c r="I161">
        <v>-0.66</v>
      </c>
    </row>
    <row r="162" spans="1:9" x14ac:dyDescent="0.3">
      <c r="A162">
        <v>3529</v>
      </c>
      <c r="B162" s="2">
        <f t="shared" si="2"/>
        <v>20</v>
      </c>
      <c r="C162" s="2">
        <f t="shared" si="3"/>
        <v>2.4800000000000013</v>
      </c>
      <c r="D162">
        <v>161</v>
      </c>
      <c r="E162">
        <v>289.8</v>
      </c>
      <c r="F162">
        <v>1</v>
      </c>
      <c r="G162">
        <v>-0.11</v>
      </c>
      <c r="H162">
        <v>-0.08</v>
      </c>
      <c r="I162">
        <v>-0.65</v>
      </c>
    </row>
    <row r="163" spans="1:9" x14ac:dyDescent="0.3">
      <c r="A163">
        <v>3549</v>
      </c>
      <c r="B163" s="2">
        <f t="shared" si="2"/>
        <v>20</v>
      </c>
      <c r="C163" s="2">
        <f t="shared" si="3"/>
        <v>2.5000000000000013</v>
      </c>
      <c r="D163">
        <v>162</v>
      </c>
      <c r="E163">
        <v>291.60000000000002</v>
      </c>
      <c r="F163">
        <v>1</v>
      </c>
      <c r="G163">
        <v>-0.2</v>
      </c>
      <c r="H163">
        <v>-0.18</v>
      </c>
      <c r="I163">
        <v>-0.72</v>
      </c>
    </row>
    <row r="164" spans="1:9" x14ac:dyDescent="0.3">
      <c r="A164">
        <v>3569</v>
      </c>
      <c r="B164" s="2">
        <f t="shared" si="2"/>
        <v>20</v>
      </c>
      <c r="C164" s="2">
        <f t="shared" si="3"/>
        <v>2.5200000000000014</v>
      </c>
      <c r="D164">
        <v>163</v>
      </c>
      <c r="E164">
        <v>293.39999999999998</v>
      </c>
      <c r="F164">
        <v>1</v>
      </c>
      <c r="G164">
        <v>0.28999999999999998</v>
      </c>
      <c r="H164">
        <v>0.28999999999999998</v>
      </c>
      <c r="I164">
        <v>-0.41</v>
      </c>
    </row>
    <row r="165" spans="1:9" x14ac:dyDescent="0.3">
      <c r="A165">
        <v>3589</v>
      </c>
      <c r="B165" s="2">
        <f t="shared" si="2"/>
        <v>20</v>
      </c>
      <c r="C165" s="2">
        <f t="shared" si="3"/>
        <v>2.5400000000000014</v>
      </c>
      <c r="D165">
        <v>164</v>
      </c>
      <c r="E165">
        <v>295.2</v>
      </c>
      <c r="F165">
        <v>1</v>
      </c>
      <c r="G165">
        <v>0.14000000000000001</v>
      </c>
      <c r="H165">
        <v>0.5</v>
      </c>
      <c r="I165">
        <v>-0.35</v>
      </c>
    </row>
    <row r="166" spans="1:9" x14ac:dyDescent="0.3">
      <c r="A166">
        <v>3609</v>
      </c>
      <c r="B166" s="2">
        <f t="shared" si="2"/>
        <v>20</v>
      </c>
      <c r="C166" s="2">
        <f t="shared" si="3"/>
        <v>2.5600000000000014</v>
      </c>
      <c r="D166">
        <v>165</v>
      </c>
      <c r="E166">
        <v>297</v>
      </c>
      <c r="F166">
        <v>1</v>
      </c>
      <c r="G166">
        <v>-0.19</v>
      </c>
      <c r="H166">
        <v>-0.12</v>
      </c>
      <c r="I166">
        <v>-0.57999999999999996</v>
      </c>
    </row>
    <row r="167" spans="1:9" x14ac:dyDescent="0.3">
      <c r="A167">
        <v>3629</v>
      </c>
      <c r="B167" s="2">
        <f t="shared" si="2"/>
        <v>20</v>
      </c>
      <c r="C167" s="2">
        <f t="shared" si="3"/>
        <v>2.5800000000000014</v>
      </c>
      <c r="D167">
        <v>166</v>
      </c>
      <c r="E167">
        <v>298.8</v>
      </c>
      <c r="F167">
        <v>1</v>
      </c>
      <c r="G167">
        <v>-0.49</v>
      </c>
      <c r="H167">
        <v>-0.31</v>
      </c>
      <c r="I167">
        <v>-0.77</v>
      </c>
    </row>
    <row r="168" spans="1:9" x14ac:dyDescent="0.3">
      <c r="A168">
        <v>3649</v>
      </c>
      <c r="B168" s="2">
        <f t="shared" ref="B168:B231" si="4">A168-A167</f>
        <v>20</v>
      </c>
      <c r="C168" s="2">
        <f t="shared" si="3"/>
        <v>2.6000000000000014</v>
      </c>
      <c r="D168">
        <v>167</v>
      </c>
      <c r="E168">
        <v>300.60000000000002</v>
      </c>
      <c r="F168">
        <v>1</v>
      </c>
      <c r="G168">
        <v>0.41</v>
      </c>
      <c r="H168">
        <v>0.23</v>
      </c>
      <c r="I168">
        <v>-0.4</v>
      </c>
    </row>
    <row r="169" spans="1:9" x14ac:dyDescent="0.3">
      <c r="A169">
        <v>3670</v>
      </c>
      <c r="B169" s="2">
        <f t="shared" si="4"/>
        <v>21</v>
      </c>
      <c r="C169" s="2">
        <f t="shared" ref="C169:C232" si="5">B169/1000+C168</f>
        <v>2.6210000000000013</v>
      </c>
      <c r="D169">
        <v>168</v>
      </c>
      <c r="E169">
        <v>302.39999999999998</v>
      </c>
      <c r="F169">
        <v>1</v>
      </c>
      <c r="G169">
        <v>0.21</v>
      </c>
      <c r="H169">
        <v>0.53</v>
      </c>
      <c r="I169">
        <v>-0.5</v>
      </c>
    </row>
    <row r="170" spans="1:9" x14ac:dyDescent="0.3">
      <c r="A170">
        <v>3689</v>
      </c>
      <c r="B170" s="2">
        <f t="shared" si="4"/>
        <v>19</v>
      </c>
      <c r="C170" s="2">
        <f t="shared" si="5"/>
        <v>2.6400000000000015</v>
      </c>
      <c r="D170">
        <v>169</v>
      </c>
      <c r="E170">
        <v>304.2</v>
      </c>
      <c r="F170">
        <v>1</v>
      </c>
      <c r="G170">
        <v>-0.31</v>
      </c>
      <c r="H170">
        <v>-0.2</v>
      </c>
      <c r="I170">
        <v>-0.56000000000000005</v>
      </c>
    </row>
    <row r="171" spans="1:9" x14ac:dyDescent="0.3">
      <c r="A171">
        <v>3709</v>
      </c>
      <c r="B171" s="2">
        <f t="shared" si="4"/>
        <v>20</v>
      </c>
      <c r="C171" s="2">
        <f t="shared" si="5"/>
        <v>2.6600000000000015</v>
      </c>
      <c r="D171">
        <v>170</v>
      </c>
      <c r="E171">
        <v>306</v>
      </c>
      <c r="F171">
        <v>1</v>
      </c>
      <c r="G171">
        <v>-0.51</v>
      </c>
      <c r="H171">
        <v>-0.3</v>
      </c>
      <c r="I171">
        <v>-0.59</v>
      </c>
    </row>
    <row r="172" spans="1:9" x14ac:dyDescent="0.3">
      <c r="A172">
        <v>3729</v>
      </c>
      <c r="B172" s="2">
        <f t="shared" si="4"/>
        <v>20</v>
      </c>
      <c r="C172" s="2">
        <f t="shared" si="5"/>
        <v>2.6800000000000015</v>
      </c>
      <c r="D172">
        <v>171</v>
      </c>
      <c r="E172">
        <v>307.8</v>
      </c>
      <c r="F172">
        <v>1</v>
      </c>
      <c r="G172">
        <v>0.12</v>
      </c>
      <c r="H172">
        <v>0.36</v>
      </c>
      <c r="I172">
        <v>-0.64</v>
      </c>
    </row>
    <row r="173" spans="1:9" x14ac:dyDescent="0.3">
      <c r="A173">
        <v>3749</v>
      </c>
      <c r="B173" s="2">
        <f t="shared" si="4"/>
        <v>20</v>
      </c>
      <c r="C173" s="2">
        <f t="shared" si="5"/>
        <v>2.7000000000000015</v>
      </c>
      <c r="D173">
        <v>172</v>
      </c>
      <c r="E173">
        <v>309.60000000000002</v>
      </c>
      <c r="F173">
        <v>1</v>
      </c>
      <c r="G173">
        <v>0.34</v>
      </c>
      <c r="H173">
        <v>0.37</v>
      </c>
      <c r="I173">
        <v>-0.54</v>
      </c>
    </row>
    <row r="174" spans="1:9" x14ac:dyDescent="0.3">
      <c r="A174">
        <v>3769</v>
      </c>
      <c r="B174" s="2">
        <f t="shared" si="4"/>
        <v>20</v>
      </c>
      <c r="C174" s="2">
        <f t="shared" si="5"/>
        <v>2.7200000000000015</v>
      </c>
      <c r="D174">
        <v>173</v>
      </c>
      <c r="E174">
        <v>311.39999999999998</v>
      </c>
      <c r="F174">
        <v>1</v>
      </c>
      <c r="G174">
        <v>-0.2</v>
      </c>
      <c r="H174">
        <v>0.08</v>
      </c>
      <c r="I174">
        <v>-0.56000000000000005</v>
      </c>
    </row>
    <row r="175" spans="1:9" x14ac:dyDescent="0.3">
      <c r="A175">
        <v>3789</v>
      </c>
      <c r="B175" s="2">
        <f t="shared" si="4"/>
        <v>20</v>
      </c>
      <c r="C175" s="2">
        <f t="shared" si="5"/>
        <v>2.7400000000000015</v>
      </c>
      <c r="D175">
        <v>174</v>
      </c>
      <c r="E175">
        <v>313.2</v>
      </c>
      <c r="F175">
        <v>1</v>
      </c>
      <c r="G175">
        <v>-0.57999999999999996</v>
      </c>
      <c r="H175">
        <v>-0.46</v>
      </c>
      <c r="I175">
        <v>-0.78</v>
      </c>
    </row>
    <row r="176" spans="1:9" x14ac:dyDescent="0.3">
      <c r="A176">
        <v>3809</v>
      </c>
      <c r="B176" s="2">
        <f t="shared" si="4"/>
        <v>20</v>
      </c>
      <c r="C176" s="2">
        <f t="shared" si="5"/>
        <v>2.7600000000000016</v>
      </c>
      <c r="D176">
        <v>175</v>
      </c>
      <c r="E176">
        <v>315</v>
      </c>
      <c r="F176">
        <v>1</v>
      </c>
      <c r="G176">
        <v>0.14000000000000001</v>
      </c>
      <c r="H176">
        <v>0.1</v>
      </c>
      <c r="I176">
        <v>-0.25</v>
      </c>
    </row>
    <row r="177" spans="1:9" x14ac:dyDescent="0.3">
      <c r="A177">
        <v>3829</v>
      </c>
      <c r="B177" s="2">
        <f t="shared" si="4"/>
        <v>20</v>
      </c>
      <c r="C177" s="2">
        <f t="shared" si="5"/>
        <v>2.7800000000000016</v>
      </c>
      <c r="D177">
        <v>176</v>
      </c>
      <c r="E177">
        <v>316.8</v>
      </c>
      <c r="F177">
        <v>1</v>
      </c>
      <c r="G177">
        <v>0.22</v>
      </c>
      <c r="H177">
        <v>0.74</v>
      </c>
      <c r="I177">
        <v>-0.74</v>
      </c>
    </row>
    <row r="178" spans="1:9" x14ac:dyDescent="0.3">
      <c r="A178">
        <v>3849</v>
      </c>
      <c r="B178" s="2">
        <f t="shared" si="4"/>
        <v>20</v>
      </c>
      <c r="C178" s="2">
        <f t="shared" si="5"/>
        <v>2.8000000000000016</v>
      </c>
      <c r="D178">
        <v>177</v>
      </c>
      <c r="E178">
        <v>318.60000000000002</v>
      </c>
      <c r="F178">
        <v>1</v>
      </c>
      <c r="G178">
        <v>-0.08</v>
      </c>
      <c r="H178">
        <v>0.05</v>
      </c>
      <c r="I178">
        <v>-0.71</v>
      </c>
    </row>
    <row r="179" spans="1:9" x14ac:dyDescent="0.3">
      <c r="A179">
        <v>3869</v>
      </c>
      <c r="B179" s="2">
        <f t="shared" si="4"/>
        <v>20</v>
      </c>
      <c r="C179" s="2">
        <f t="shared" si="5"/>
        <v>2.8200000000000016</v>
      </c>
      <c r="D179">
        <v>178</v>
      </c>
      <c r="E179">
        <v>320.39999999999998</v>
      </c>
      <c r="F179">
        <v>1</v>
      </c>
      <c r="G179">
        <v>-0.49</v>
      </c>
      <c r="H179">
        <v>0.09</v>
      </c>
      <c r="I179">
        <v>-0.65</v>
      </c>
    </row>
    <row r="180" spans="1:9" x14ac:dyDescent="0.3">
      <c r="A180">
        <v>3889</v>
      </c>
      <c r="B180" s="2">
        <f t="shared" si="4"/>
        <v>20</v>
      </c>
      <c r="C180" s="2">
        <f t="shared" si="5"/>
        <v>2.8400000000000016</v>
      </c>
      <c r="D180">
        <v>179</v>
      </c>
      <c r="E180">
        <v>322.2</v>
      </c>
      <c r="F180">
        <v>1</v>
      </c>
      <c r="G180">
        <v>-0.09</v>
      </c>
      <c r="H180">
        <v>-0.15</v>
      </c>
      <c r="I180">
        <v>-0.68</v>
      </c>
    </row>
    <row r="181" spans="1:9" x14ac:dyDescent="0.3">
      <c r="A181">
        <v>3909</v>
      </c>
      <c r="B181" s="2">
        <f t="shared" si="4"/>
        <v>20</v>
      </c>
      <c r="C181" s="2">
        <f t="shared" si="5"/>
        <v>2.8600000000000017</v>
      </c>
      <c r="D181">
        <v>180</v>
      </c>
      <c r="E181">
        <v>324</v>
      </c>
      <c r="F181">
        <v>1</v>
      </c>
      <c r="G181">
        <v>0.32</v>
      </c>
      <c r="H181">
        <v>0.56999999999999995</v>
      </c>
      <c r="I181">
        <v>-0.42</v>
      </c>
    </row>
    <row r="182" spans="1:9" x14ac:dyDescent="0.3">
      <c r="A182">
        <v>3929</v>
      </c>
      <c r="B182" s="2">
        <f t="shared" si="4"/>
        <v>20</v>
      </c>
      <c r="C182" s="2">
        <f t="shared" si="5"/>
        <v>2.8800000000000017</v>
      </c>
      <c r="D182">
        <v>181</v>
      </c>
      <c r="E182">
        <v>325.8</v>
      </c>
      <c r="F182">
        <v>1</v>
      </c>
      <c r="G182">
        <v>-0.18</v>
      </c>
      <c r="H182">
        <v>0.22</v>
      </c>
      <c r="I182">
        <v>-0.84</v>
      </c>
    </row>
    <row r="183" spans="1:9" x14ac:dyDescent="0.3">
      <c r="A183">
        <v>3949</v>
      </c>
      <c r="B183" s="2">
        <f t="shared" si="4"/>
        <v>20</v>
      </c>
      <c r="C183" s="2">
        <f t="shared" si="5"/>
        <v>2.9000000000000017</v>
      </c>
      <c r="D183">
        <v>182</v>
      </c>
      <c r="E183">
        <v>327.60000000000002</v>
      </c>
      <c r="F183">
        <v>1</v>
      </c>
      <c r="G183">
        <v>-0.34</v>
      </c>
      <c r="H183">
        <v>0.12</v>
      </c>
      <c r="I183">
        <v>-0.52</v>
      </c>
    </row>
    <row r="184" spans="1:9" x14ac:dyDescent="0.3">
      <c r="A184">
        <v>3969</v>
      </c>
      <c r="B184" s="2">
        <f t="shared" si="4"/>
        <v>20</v>
      </c>
      <c r="C184" s="2">
        <f t="shared" si="5"/>
        <v>2.9200000000000017</v>
      </c>
      <c r="D184">
        <v>183</v>
      </c>
      <c r="E184">
        <v>329.4</v>
      </c>
      <c r="F184">
        <v>1</v>
      </c>
      <c r="G184">
        <v>-0.18</v>
      </c>
      <c r="H184">
        <v>-0.32</v>
      </c>
      <c r="I184">
        <v>-0.17</v>
      </c>
    </row>
    <row r="185" spans="1:9" x14ac:dyDescent="0.3">
      <c r="A185">
        <v>3989</v>
      </c>
      <c r="B185" s="2">
        <f t="shared" si="4"/>
        <v>20</v>
      </c>
      <c r="C185" s="2">
        <f t="shared" si="5"/>
        <v>2.9400000000000017</v>
      </c>
      <c r="D185">
        <v>184</v>
      </c>
      <c r="E185">
        <v>331.2</v>
      </c>
      <c r="F185">
        <v>1</v>
      </c>
      <c r="G185">
        <v>0.25</v>
      </c>
      <c r="H185">
        <v>0.69</v>
      </c>
      <c r="I185">
        <v>-0.54</v>
      </c>
    </row>
    <row r="186" spans="1:9" x14ac:dyDescent="0.3">
      <c r="A186">
        <v>4009</v>
      </c>
      <c r="B186" s="2">
        <f t="shared" si="4"/>
        <v>20</v>
      </c>
      <c r="C186" s="2">
        <f t="shared" si="5"/>
        <v>2.9600000000000017</v>
      </c>
      <c r="D186">
        <v>185</v>
      </c>
      <c r="E186">
        <v>333</v>
      </c>
      <c r="F186">
        <v>1</v>
      </c>
      <c r="G186">
        <v>-0.32</v>
      </c>
      <c r="H186">
        <v>0.02</v>
      </c>
      <c r="I186">
        <v>-0.45</v>
      </c>
    </row>
    <row r="187" spans="1:9" x14ac:dyDescent="0.3">
      <c r="A187">
        <v>4029</v>
      </c>
      <c r="B187" s="2">
        <f t="shared" si="4"/>
        <v>20</v>
      </c>
      <c r="C187" s="2">
        <f t="shared" si="5"/>
        <v>2.9800000000000018</v>
      </c>
      <c r="D187">
        <v>186</v>
      </c>
      <c r="E187">
        <v>334.8</v>
      </c>
      <c r="F187">
        <v>1</v>
      </c>
      <c r="G187">
        <v>-0.61</v>
      </c>
      <c r="H187">
        <v>-0.1</v>
      </c>
      <c r="I187">
        <v>-0.52</v>
      </c>
    </row>
    <row r="188" spans="1:9" x14ac:dyDescent="0.3">
      <c r="A188">
        <v>4049</v>
      </c>
      <c r="B188" s="2">
        <f t="shared" si="4"/>
        <v>20</v>
      </c>
      <c r="C188" s="2">
        <f t="shared" si="5"/>
        <v>3.0000000000000018</v>
      </c>
      <c r="D188">
        <v>187</v>
      </c>
      <c r="E188">
        <v>336.6</v>
      </c>
      <c r="F188">
        <v>1</v>
      </c>
      <c r="G188">
        <v>-0.24</v>
      </c>
      <c r="H188">
        <v>-0.09</v>
      </c>
      <c r="I188">
        <v>-0.48</v>
      </c>
    </row>
    <row r="189" spans="1:9" x14ac:dyDescent="0.3">
      <c r="A189">
        <v>4069</v>
      </c>
      <c r="B189" s="2">
        <f t="shared" si="4"/>
        <v>20</v>
      </c>
      <c r="C189" s="2">
        <f t="shared" si="5"/>
        <v>3.0200000000000018</v>
      </c>
      <c r="D189">
        <v>188</v>
      </c>
      <c r="E189">
        <v>338.4</v>
      </c>
      <c r="F189">
        <v>1</v>
      </c>
      <c r="G189">
        <v>-0.03</v>
      </c>
      <c r="H189">
        <v>-0.03</v>
      </c>
      <c r="I189">
        <v>-0.21</v>
      </c>
    </row>
    <row r="190" spans="1:9" x14ac:dyDescent="0.3">
      <c r="A190">
        <v>4089</v>
      </c>
      <c r="B190" s="2">
        <f t="shared" si="4"/>
        <v>20</v>
      </c>
      <c r="C190" s="2">
        <f t="shared" si="5"/>
        <v>3.0400000000000018</v>
      </c>
      <c r="D190">
        <v>189</v>
      </c>
      <c r="E190">
        <v>340.2</v>
      </c>
      <c r="F190">
        <v>1</v>
      </c>
      <c r="G190">
        <v>0.28000000000000003</v>
      </c>
      <c r="H190">
        <v>0.25</v>
      </c>
      <c r="I190">
        <v>-0.1</v>
      </c>
    </row>
    <row r="191" spans="1:9" x14ac:dyDescent="0.3">
      <c r="A191">
        <v>4109</v>
      </c>
      <c r="B191" s="2">
        <f t="shared" si="4"/>
        <v>20</v>
      </c>
      <c r="C191" s="2">
        <f t="shared" si="5"/>
        <v>3.0600000000000018</v>
      </c>
      <c r="D191">
        <v>190</v>
      </c>
      <c r="E191">
        <v>342</v>
      </c>
      <c r="F191">
        <v>1</v>
      </c>
      <c r="G191">
        <v>-0.48</v>
      </c>
      <c r="H191">
        <v>-0.38</v>
      </c>
      <c r="I191">
        <v>-0.37</v>
      </c>
    </row>
    <row r="192" spans="1:9" x14ac:dyDescent="0.3">
      <c r="A192">
        <v>4129</v>
      </c>
      <c r="B192" s="2">
        <f t="shared" si="4"/>
        <v>20</v>
      </c>
      <c r="C192" s="2">
        <f t="shared" si="5"/>
        <v>3.0800000000000018</v>
      </c>
      <c r="D192">
        <v>191</v>
      </c>
      <c r="E192">
        <v>343.8</v>
      </c>
      <c r="F192">
        <v>1</v>
      </c>
      <c r="G192">
        <v>-0.64</v>
      </c>
      <c r="H192">
        <v>0.36</v>
      </c>
      <c r="I192">
        <v>-0.35</v>
      </c>
    </row>
    <row r="193" spans="1:9" x14ac:dyDescent="0.3">
      <c r="A193">
        <v>4149</v>
      </c>
      <c r="B193" s="2">
        <f t="shared" si="4"/>
        <v>20</v>
      </c>
      <c r="C193" s="2">
        <f t="shared" si="5"/>
        <v>3.1000000000000019</v>
      </c>
      <c r="D193">
        <v>192</v>
      </c>
      <c r="E193">
        <v>345.6</v>
      </c>
      <c r="F193">
        <v>1</v>
      </c>
      <c r="G193">
        <v>0.15</v>
      </c>
      <c r="H193">
        <v>0.67</v>
      </c>
      <c r="I193">
        <v>0.03</v>
      </c>
    </row>
    <row r="194" spans="1:9" x14ac:dyDescent="0.3">
      <c r="A194">
        <v>4169</v>
      </c>
      <c r="B194" s="2">
        <f t="shared" si="4"/>
        <v>20</v>
      </c>
      <c r="C194" s="2">
        <f t="shared" si="5"/>
        <v>3.1200000000000019</v>
      </c>
      <c r="D194">
        <v>193</v>
      </c>
      <c r="E194">
        <v>347.4</v>
      </c>
      <c r="F194">
        <v>1</v>
      </c>
      <c r="G194">
        <v>0.17</v>
      </c>
      <c r="H194">
        <v>0.32</v>
      </c>
      <c r="I194">
        <v>0.22</v>
      </c>
    </row>
    <row r="195" spans="1:9" x14ac:dyDescent="0.3">
      <c r="A195">
        <v>4189</v>
      </c>
      <c r="B195" s="2">
        <f t="shared" si="4"/>
        <v>20</v>
      </c>
      <c r="C195" s="2">
        <f t="shared" si="5"/>
        <v>3.1400000000000019</v>
      </c>
      <c r="D195">
        <v>194</v>
      </c>
      <c r="E195">
        <v>349.2</v>
      </c>
      <c r="F195">
        <v>1</v>
      </c>
      <c r="G195">
        <v>-0.11</v>
      </c>
      <c r="H195">
        <v>0.35</v>
      </c>
      <c r="I195">
        <v>-0.18</v>
      </c>
    </row>
    <row r="196" spans="1:9" x14ac:dyDescent="0.3">
      <c r="A196">
        <v>4209</v>
      </c>
      <c r="B196" s="2">
        <f t="shared" si="4"/>
        <v>20</v>
      </c>
      <c r="C196" s="2">
        <f t="shared" si="5"/>
        <v>3.1600000000000019</v>
      </c>
      <c r="D196">
        <v>195</v>
      </c>
      <c r="E196">
        <v>351</v>
      </c>
      <c r="F196">
        <v>1</v>
      </c>
      <c r="G196">
        <v>-0.52</v>
      </c>
      <c r="H196">
        <v>-0.28999999999999998</v>
      </c>
      <c r="I196">
        <v>-0.31</v>
      </c>
    </row>
    <row r="197" spans="1:9" x14ac:dyDescent="0.3">
      <c r="A197">
        <v>4229</v>
      </c>
      <c r="B197" s="2">
        <f t="shared" si="4"/>
        <v>20</v>
      </c>
      <c r="C197" s="2">
        <f t="shared" si="5"/>
        <v>3.1800000000000019</v>
      </c>
      <c r="D197">
        <v>196</v>
      </c>
      <c r="E197">
        <v>352.8</v>
      </c>
      <c r="F197">
        <v>1</v>
      </c>
      <c r="G197">
        <v>0.12</v>
      </c>
      <c r="H197">
        <v>0.47</v>
      </c>
      <c r="I197">
        <v>0.03</v>
      </c>
    </row>
    <row r="198" spans="1:9" x14ac:dyDescent="0.3">
      <c r="A198">
        <v>4249</v>
      </c>
      <c r="B198" s="2">
        <f t="shared" si="4"/>
        <v>20</v>
      </c>
      <c r="C198" s="2">
        <f t="shared" si="5"/>
        <v>3.200000000000002</v>
      </c>
      <c r="D198">
        <v>197</v>
      </c>
      <c r="E198">
        <v>354.6</v>
      </c>
      <c r="F198">
        <v>1</v>
      </c>
      <c r="G198">
        <v>-0.1</v>
      </c>
      <c r="H198">
        <v>0.26</v>
      </c>
      <c r="I198">
        <v>-0.22</v>
      </c>
    </row>
    <row r="199" spans="1:9" x14ac:dyDescent="0.3">
      <c r="A199">
        <v>4269</v>
      </c>
      <c r="B199" s="2">
        <f t="shared" si="4"/>
        <v>20</v>
      </c>
      <c r="C199" s="2">
        <f t="shared" si="5"/>
        <v>3.220000000000002</v>
      </c>
      <c r="D199">
        <v>198</v>
      </c>
      <c r="E199">
        <v>356.4</v>
      </c>
      <c r="F199">
        <v>1</v>
      </c>
      <c r="G199">
        <v>-0.2</v>
      </c>
      <c r="H199">
        <v>0.36</v>
      </c>
      <c r="I199">
        <v>-0.03</v>
      </c>
    </row>
    <row r="200" spans="1:9" x14ac:dyDescent="0.3">
      <c r="A200">
        <v>4289</v>
      </c>
      <c r="B200" s="2">
        <f t="shared" si="4"/>
        <v>20</v>
      </c>
      <c r="C200" s="2">
        <f t="shared" si="5"/>
        <v>3.240000000000002</v>
      </c>
      <c r="D200">
        <v>199</v>
      </c>
      <c r="E200">
        <v>358.2</v>
      </c>
      <c r="F200">
        <v>1</v>
      </c>
      <c r="G200">
        <v>-0.45</v>
      </c>
      <c r="H200">
        <v>-0.17</v>
      </c>
      <c r="I200">
        <v>0.1</v>
      </c>
    </row>
    <row r="201" spans="1:9" x14ac:dyDescent="0.3">
      <c r="A201">
        <v>4310</v>
      </c>
      <c r="B201" s="2">
        <f t="shared" si="4"/>
        <v>21</v>
      </c>
      <c r="C201" s="2">
        <f t="shared" si="5"/>
        <v>3.2610000000000019</v>
      </c>
      <c r="D201">
        <v>0</v>
      </c>
      <c r="E201">
        <v>360</v>
      </c>
      <c r="F201">
        <v>1</v>
      </c>
      <c r="G201">
        <v>0.25</v>
      </c>
      <c r="H201">
        <v>0.53</v>
      </c>
      <c r="I201">
        <v>0.39</v>
      </c>
    </row>
    <row r="202" spans="1:9" x14ac:dyDescent="0.3">
      <c r="A202">
        <v>4329</v>
      </c>
      <c r="B202" s="2">
        <f t="shared" si="4"/>
        <v>19</v>
      </c>
      <c r="C202" s="2">
        <f t="shared" si="5"/>
        <v>3.280000000000002</v>
      </c>
      <c r="D202">
        <v>1</v>
      </c>
      <c r="E202">
        <v>1.8</v>
      </c>
      <c r="F202">
        <v>1</v>
      </c>
      <c r="G202">
        <v>0.1</v>
      </c>
      <c r="H202">
        <v>0.23</v>
      </c>
      <c r="I202">
        <v>-0.22</v>
      </c>
    </row>
    <row r="203" spans="1:9" x14ac:dyDescent="0.3">
      <c r="A203">
        <v>4349</v>
      </c>
      <c r="B203" s="2">
        <f t="shared" si="4"/>
        <v>20</v>
      </c>
      <c r="C203" s="2">
        <f t="shared" si="5"/>
        <v>3.300000000000002</v>
      </c>
      <c r="D203">
        <v>2</v>
      </c>
      <c r="E203">
        <v>3.6</v>
      </c>
      <c r="F203">
        <v>1</v>
      </c>
      <c r="G203">
        <v>-0.06</v>
      </c>
      <c r="H203">
        <v>0.02</v>
      </c>
      <c r="I203">
        <v>0.27</v>
      </c>
    </row>
    <row r="204" spans="1:9" x14ac:dyDescent="0.3">
      <c r="A204">
        <v>4369</v>
      </c>
      <c r="B204" s="2">
        <f t="shared" si="4"/>
        <v>20</v>
      </c>
      <c r="C204" s="2">
        <f t="shared" si="5"/>
        <v>3.3200000000000021</v>
      </c>
      <c r="D204">
        <v>3</v>
      </c>
      <c r="E204">
        <v>5.4</v>
      </c>
      <c r="F204">
        <v>1</v>
      </c>
      <c r="G204">
        <v>0.1</v>
      </c>
      <c r="H204">
        <v>0.05</v>
      </c>
      <c r="I204">
        <v>0.1</v>
      </c>
    </row>
    <row r="205" spans="1:9" x14ac:dyDescent="0.3">
      <c r="A205">
        <v>4389</v>
      </c>
      <c r="B205" s="2">
        <f t="shared" si="4"/>
        <v>20</v>
      </c>
      <c r="C205" s="2">
        <f t="shared" si="5"/>
        <v>3.3400000000000021</v>
      </c>
      <c r="D205">
        <v>4</v>
      </c>
      <c r="E205">
        <v>7.2</v>
      </c>
      <c r="F205">
        <v>1</v>
      </c>
      <c r="G205">
        <v>-0.27</v>
      </c>
      <c r="H205">
        <v>-0.03</v>
      </c>
      <c r="I205">
        <v>0.05</v>
      </c>
    </row>
    <row r="206" spans="1:9" x14ac:dyDescent="0.3">
      <c r="A206">
        <v>4409</v>
      </c>
      <c r="B206" s="2">
        <f t="shared" si="4"/>
        <v>20</v>
      </c>
      <c r="C206" s="2">
        <f t="shared" si="5"/>
        <v>3.3600000000000021</v>
      </c>
      <c r="D206">
        <v>5</v>
      </c>
      <c r="E206">
        <v>9</v>
      </c>
      <c r="F206">
        <v>1</v>
      </c>
      <c r="G206">
        <v>0.18</v>
      </c>
      <c r="H206">
        <v>0.7</v>
      </c>
      <c r="I206">
        <v>-0.08</v>
      </c>
    </row>
    <row r="207" spans="1:9" x14ac:dyDescent="0.3">
      <c r="A207">
        <v>4429</v>
      </c>
      <c r="B207" s="2">
        <f t="shared" si="4"/>
        <v>20</v>
      </c>
      <c r="C207" s="2">
        <f t="shared" si="5"/>
        <v>3.3800000000000021</v>
      </c>
      <c r="D207">
        <v>6</v>
      </c>
      <c r="E207">
        <v>10.8</v>
      </c>
      <c r="F207">
        <v>1</v>
      </c>
      <c r="G207">
        <v>0.05</v>
      </c>
      <c r="H207">
        <v>0.2</v>
      </c>
      <c r="I207">
        <v>0.11</v>
      </c>
    </row>
    <row r="208" spans="1:9" x14ac:dyDescent="0.3">
      <c r="A208">
        <v>4449</v>
      </c>
      <c r="B208" s="2">
        <f t="shared" si="4"/>
        <v>20</v>
      </c>
      <c r="C208" s="2">
        <f t="shared" si="5"/>
        <v>3.4000000000000021</v>
      </c>
      <c r="D208">
        <v>7</v>
      </c>
      <c r="E208">
        <v>12.6</v>
      </c>
      <c r="F208">
        <v>1</v>
      </c>
      <c r="G208">
        <v>-0.37</v>
      </c>
      <c r="H208">
        <v>-7.0000000000000007E-2</v>
      </c>
      <c r="I208">
        <v>0.09</v>
      </c>
    </row>
    <row r="209" spans="1:9" x14ac:dyDescent="0.3">
      <c r="A209">
        <v>4469</v>
      </c>
      <c r="B209" s="2">
        <f t="shared" si="4"/>
        <v>20</v>
      </c>
      <c r="C209" s="2">
        <f t="shared" si="5"/>
        <v>3.4200000000000021</v>
      </c>
      <c r="D209">
        <v>8</v>
      </c>
      <c r="E209">
        <v>14.4</v>
      </c>
      <c r="F209">
        <v>1</v>
      </c>
      <c r="G209">
        <v>0.08</v>
      </c>
      <c r="H209">
        <v>0.63</v>
      </c>
      <c r="I209">
        <v>0.31</v>
      </c>
    </row>
    <row r="210" spans="1:9" x14ac:dyDescent="0.3">
      <c r="A210">
        <v>4489</v>
      </c>
      <c r="B210" s="2">
        <f t="shared" si="4"/>
        <v>20</v>
      </c>
      <c r="C210" s="2">
        <f t="shared" si="5"/>
        <v>3.4400000000000022</v>
      </c>
      <c r="D210">
        <v>9</v>
      </c>
      <c r="E210">
        <v>16.2</v>
      </c>
      <c r="F210">
        <v>1</v>
      </c>
      <c r="G210">
        <v>-0.08</v>
      </c>
      <c r="H210">
        <v>0.26</v>
      </c>
      <c r="I210">
        <v>-0.08</v>
      </c>
    </row>
    <row r="211" spans="1:9" x14ac:dyDescent="0.3">
      <c r="A211">
        <v>4509</v>
      </c>
      <c r="B211" s="2">
        <f t="shared" si="4"/>
        <v>20</v>
      </c>
      <c r="C211" s="2">
        <f t="shared" si="5"/>
        <v>3.4600000000000022</v>
      </c>
      <c r="D211">
        <v>10</v>
      </c>
      <c r="E211">
        <v>18</v>
      </c>
      <c r="F211">
        <v>1</v>
      </c>
      <c r="G211">
        <v>-0.05</v>
      </c>
      <c r="H211">
        <v>-0.13</v>
      </c>
      <c r="I211">
        <v>0.13</v>
      </c>
    </row>
    <row r="212" spans="1:9" x14ac:dyDescent="0.3">
      <c r="A212">
        <v>4529</v>
      </c>
      <c r="B212" s="2">
        <f t="shared" si="4"/>
        <v>20</v>
      </c>
      <c r="C212" s="2">
        <f t="shared" si="5"/>
        <v>3.4800000000000022</v>
      </c>
      <c r="D212">
        <v>11</v>
      </c>
      <c r="E212">
        <v>19.8</v>
      </c>
      <c r="F212">
        <v>1</v>
      </c>
      <c r="G212">
        <v>-0.08</v>
      </c>
      <c r="H212">
        <v>0.54</v>
      </c>
      <c r="I212">
        <v>0.52</v>
      </c>
    </row>
    <row r="213" spans="1:9" x14ac:dyDescent="0.3">
      <c r="A213">
        <v>4549</v>
      </c>
      <c r="B213" s="2">
        <f t="shared" si="4"/>
        <v>20</v>
      </c>
      <c r="C213" s="2">
        <f t="shared" si="5"/>
        <v>3.5000000000000022</v>
      </c>
      <c r="D213">
        <v>12</v>
      </c>
      <c r="E213">
        <v>21.6</v>
      </c>
      <c r="F213">
        <v>1</v>
      </c>
      <c r="G213">
        <v>-0.12</v>
      </c>
      <c r="H213">
        <v>0.57999999999999996</v>
      </c>
      <c r="I213">
        <v>0.36</v>
      </c>
    </row>
    <row r="214" spans="1:9" x14ac:dyDescent="0.3">
      <c r="A214">
        <v>4569</v>
      </c>
      <c r="B214" s="2">
        <f t="shared" si="4"/>
        <v>20</v>
      </c>
      <c r="C214" s="2">
        <f t="shared" si="5"/>
        <v>3.5200000000000022</v>
      </c>
      <c r="D214">
        <v>13</v>
      </c>
      <c r="E214">
        <v>23.4</v>
      </c>
      <c r="F214">
        <v>1</v>
      </c>
      <c r="G214">
        <v>-0.26</v>
      </c>
      <c r="H214">
        <v>-0.1</v>
      </c>
      <c r="I214">
        <v>0.16</v>
      </c>
    </row>
    <row r="215" spans="1:9" x14ac:dyDescent="0.3">
      <c r="A215">
        <v>4589</v>
      </c>
      <c r="B215" s="2">
        <f t="shared" si="4"/>
        <v>20</v>
      </c>
      <c r="C215" s="2">
        <f t="shared" si="5"/>
        <v>3.5400000000000023</v>
      </c>
      <c r="D215">
        <v>14</v>
      </c>
      <c r="E215">
        <v>25.2</v>
      </c>
      <c r="F215">
        <v>1</v>
      </c>
      <c r="G215">
        <v>0.44</v>
      </c>
      <c r="H215">
        <v>0.64</v>
      </c>
      <c r="I215">
        <v>0.95</v>
      </c>
    </row>
    <row r="216" spans="1:9" x14ac:dyDescent="0.3">
      <c r="A216">
        <v>4610</v>
      </c>
      <c r="B216" s="2">
        <f t="shared" si="4"/>
        <v>21</v>
      </c>
      <c r="C216" s="2">
        <f t="shared" si="5"/>
        <v>3.5610000000000022</v>
      </c>
      <c r="D216">
        <v>15</v>
      </c>
      <c r="E216">
        <v>27</v>
      </c>
      <c r="F216">
        <v>1</v>
      </c>
      <c r="G216">
        <v>-0.32</v>
      </c>
      <c r="H216">
        <v>0.02</v>
      </c>
      <c r="I216">
        <v>0.3</v>
      </c>
    </row>
    <row r="217" spans="1:9" x14ac:dyDescent="0.3">
      <c r="A217">
        <v>4629</v>
      </c>
      <c r="B217" s="2">
        <f t="shared" si="4"/>
        <v>19</v>
      </c>
      <c r="C217" s="2">
        <f t="shared" si="5"/>
        <v>3.5800000000000023</v>
      </c>
      <c r="D217">
        <v>16</v>
      </c>
      <c r="E217">
        <v>28.8</v>
      </c>
      <c r="F217">
        <v>1</v>
      </c>
      <c r="G217">
        <v>0.49</v>
      </c>
      <c r="H217">
        <v>1.1299999999999999</v>
      </c>
      <c r="I217">
        <v>1.46</v>
      </c>
    </row>
    <row r="218" spans="1:9" x14ac:dyDescent="0.3">
      <c r="A218">
        <v>4649</v>
      </c>
      <c r="B218" s="2">
        <f t="shared" si="4"/>
        <v>20</v>
      </c>
      <c r="C218" s="2">
        <f t="shared" si="5"/>
        <v>3.6000000000000023</v>
      </c>
      <c r="D218">
        <v>17</v>
      </c>
      <c r="E218">
        <v>30.6</v>
      </c>
      <c r="F218">
        <v>1</v>
      </c>
      <c r="G218">
        <v>-0.59</v>
      </c>
      <c r="H218">
        <v>-0.75</v>
      </c>
      <c r="I218">
        <v>0.03</v>
      </c>
    </row>
    <row r="219" spans="1:9" x14ac:dyDescent="0.3">
      <c r="A219">
        <v>4669</v>
      </c>
      <c r="B219" s="2">
        <f t="shared" si="4"/>
        <v>20</v>
      </c>
      <c r="C219" s="2">
        <f t="shared" si="5"/>
        <v>3.6200000000000023</v>
      </c>
      <c r="D219">
        <v>18</v>
      </c>
      <c r="E219">
        <v>32.4</v>
      </c>
      <c r="F219">
        <v>1</v>
      </c>
      <c r="G219">
        <v>-0.02</v>
      </c>
      <c r="H219">
        <v>0.05</v>
      </c>
      <c r="I219">
        <v>1.22</v>
      </c>
    </row>
    <row r="220" spans="1:9" x14ac:dyDescent="0.3">
      <c r="A220">
        <v>4689</v>
      </c>
      <c r="B220" s="2">
        <f t="shared" si="4"/>
        <v>20</v>
      </c>
      <c r="C220" s="2">
        <f t="shared" si="5"/>
        <v>3.6400000000000023</v>
      </c>
      <c r="D220">
        <v>19</v>
      </c>
      <c r="E220">
        <v>34.200000000000003</v>
      </c>
      <c r="F220">
        <v>1</v>
      </c>
      <c r="G220">
        <v>-0.65</v>
      </c>
      <c r="H220">
        <v>-0.43</v>
      </c>
      <c r="I220">
        <v>0.27</v>
      </c>
    </row>
    <row r="221" spans="1:9" x14ac:dyDescent="0.3">
      <c r="A221">
        <v>4709</v>
      </c>
      <c r="B221" s="2">
        <f t="shared" si="4"/>
        <v>20</v>
      </c>
      <c r="C221" s="2">
        <f t="shared" si="5"/>
        <v>3.6600000000000024</v>
      </c>
      <c r="D221">
        <v>20</v>
      </c>
      <c r="E221">
        <v>36</v>
      </c>
      <c r="F221">
        <v>1</v>
      </c>
      <c r="G221">
        <v>0.82</v>
      </c>
      <c r="H221">
        <v>1.92</v>
      </c>
      <c r="I221">
        <v>0.54</v>
      </c>
    </row>
    <row r="222" spans="1:9" x14ac:dyDescent="0.3">
      <c r="A222">
        <v>4729</v>
      </c>
      <c r="B222" s="2">
        <f t="shared" si="4"/>
        <v>20</v>
      </c>
      <c r="C222" s="2">
        <f t="shared" si="5"/>
        <v>3.6800000000000024</v>
      </c>
      <c r="D222">
        <v>21</v>
      </c>
      <c r="E222">
        <v>37.799999999999997</v>
      </c>
      <c r="F222">
        <v>1</v>
      </c>
      <c r="G222">
        <v>7.0000000000000007E-2</v>
      </c>
      <c r="H222">
        <v>0.49</v>
      </c>
      <c r="I222">
        <v>0.03</v>
      </c>
    </row>
    <row r="223" spans="1:9" x14ac:dyDescent="0.3">
      <c r="A223">
        <v>4749</v>
      </c>
      <c r="B223" s="2">
        <f t="shared" si="4"/>
        <v>20</v>
      </c>
      <c r="C223" s="2">
        <f t="shared" si="5"/>
        <v>3.7000000000000024</v>
      </c>
      <c r="D223">
        <v>22</v>
      </c>
      <c r="E223">
        <v>39.6</v>
      </c>
      <c r="F223">
        <v>1</v>
      </c>
      <c r="G223">
        <v>0.13</v>
      </c>
      <c r="H223">
        <v>0.47</v>
      </c>
      <c r="I223">
        <v>1</v>
      </c>
    </row>
    <row r="224" spans="1:9" x14ac:dyDescent="0.3">
      <c r="A224">
        <v>4769</v>
      </c>
      <c r="B224" s="2">
        <f t="shared" si="4"/>
        <v>20</v>
      </c>
      <c r="C224" s="2">
        <f t="shared" si="5"/>
        <v>3.7200000000000024</v>
      </c>
      <c r="D224">
        <v>23</v>
      </c>
      <c r="E224">
        <v>41.4</v>
      </c>
      <c r="F224">
        <v>1</v>
      </c>
      <c r="G224">
        <v>-0.74</v>
      </c>
      <c r="H224">
        <v>-1.24</v>
      </c>
      <c r="I224">
        <v>0.57999999999999996</v>
      </c>
    </row>
    <row r="225" spans="1:10" x14ac:dyDescent="0.3">
      <c r="A225">
        <v>4789</v>
      </c>
      <c r="B225" s="2">
        <f t="shared" si="4"/>
        <v>20</v>
      </c>
      <c r="C225" s="2">
        <f t="shared" si="5"/>
        <v>3.7400000000000024</v>
      </c>
      <c r="D225">
        <v>24</v>
      </c>
      <c r="E225">
        <v>43.2</v>
      </c>
      <c r="F225">
        <v>1</v>
      </c>
      <c r="G225">
        <v>0.38</v>
      </c>
      <c r="H225">
        <v>0.41</v>
      </c>
      <c r="I225">
        <v>1.61</v>
      </c>
    </row>
    <row r="226" spans="1:10" x14ac:dyDescent="0.3">
      <c r="A226">
        <v>4809</v>
      </c>
      <c r="B226" s="2">
        <f t="shared" si="4"/>
        <v>20</v>
      </c>
      <c r="C226" s="2">
        <f t="shared" si="5"/>
        <v>3.7600000000000025</v>
      </c>
      <c r="D226">
        <v>25</v>
      </c>
      <c r="E226">
        <v>45</v>
      </c>
      <c r="F226">
        <v>1</v>
      </c>
      <c r="G226">
        <v>-0.52</v>
      </c>
      <c r="H226">
        <v>-0.26</v>
      </c>
      <c r="I226">
        <v>0.08</v>
      </c>
    </row>
    <row r="227" spans="1:10" x14ac:dyDescent="0.3">
      <c r="A227">
        <v>4829</v>
      </c>
      <c r="B227" s="2">
        <f t="shared" si="4"/>
        <v>20</v>
      </c>
      <c r="C227" s="2">
        <f t="shared" si="5"/>
        <v>3.7800000000000025</v>
      </c>
      <c r="D227">
        <v>26</v>
      </c>
      <c r="E227">
        <v>46.8</v>
      </c>
      <c r="F227">
        <v>1</v>
      </c>
      <c r="G227">
        <v>0.77</v>
      </c>
      <c r="H227">
        <v>1.41</v>
      </c>
      <c r="I227">
        <v>0.83</v>
      </c>
    </row>
    <row r="228" spans="1:10" x14ac:dyDescent="0.3">
      <c r="A228">
        <v>4849</v>
      </c>
      <c r="B228" s="2">
        <f t="shared" si="4"/>
        <v>20</v>
      </c>
      <c r="C228" s="2">
        <f t="shared" si="5"/>
        <v>3.8000000000000025</v>
      </c>
      <c r="D228">
        <v>27</v>
      </c>
      <c r="E228">
        <v>48.6</v>
      </c>
      <c r="F228">
        <v>1</v>
      </c>
      <c r="G228">
        <v>-0.23</v>
      </c>
      <c r="H228">
        <v>0.18</v>
      </c>
      <c r="I228">
        <v>0.28999999999999998</v>
      </c>
    </row>
    <row r="229" spans="1:10" x14ac:dyDescent="0.3">
      <c r="A229">
        <v>4869</v>
      </c>
      <c r="B229" s="2">
        <f t="shared" si="4"/>
        <v>20</v>
      </c>
      <c r="C229" s="2">
        <f t="shared" si="5"/>
        <v>3.8200000000000025</v>
      </c>
      <c r="D229">
        <v>28</v>
      </c>
      <c r="E229">
        <v>50.4</v>
      </c>
      <c r="F229">
        <v>1</v>
      </c>
      <c r="G229">
        <v>0.01</v>
      </c>
      <c r="H229">
        <v>7.0000000000000007E-2</v>
      </c>
      <c r="I229">
        <v>1.27</v>
      </c>
    </row>
    <row r="230" spans="1:10" x14ac:dyDescent="0.3">
      <c r="A230">
        <v>4889</v>
      </c>
      <c r="B230" s="2">
        <f t="shared" si="4"/>
        <v>20</v>
      </c>
      <c r="C230" s="2">
        <f t="shared" si="5"/>
        <v>3.8400000000000025</v>
      </c>
      <c r="D230">
        <v>29</v>
      </c>
      <c r="E230">
        <v>52.2</v>
      </c>
      <c r="F230">
        <v>1</v>
      </c>
      <c r="G230">
        <v>-0.02</v>
      </c>
      <c r="H230">
        <v>0.3</v>
      </c>
      <c r="I230">
        <v>0.48</v>
      </c>
    </row>
    <row r="231" spans="1:10" x14ac:dyDescent="0.3">
      <c r="A231">
        <v>4909</v>
      </c>
      <c r="B231" s="2">
        <f t="shared" si="4"/>
        <v>20</v>
      </c>
      <c r="C231" s="2">
        <f t="shared" si="5"/>
        <v>3.8600000000000025</v>
      </c>
      <c r="D231">
        <v>30</v>
      </c>
      <c r="E231">
        <v>54</v>
      </c>
      <c r="F231">
        <v>1</v>
      </c>
      <c r="G231">
        <v>-0.82</v>
      </c>
      <c r="H231">
        <v>-0.51</v>
      </c>
      <c r="I231">
        <v>0.62</v>
      </c>
    </row>
    <row r="232" spans="1:10" x14ac:dyDescent="0.3">
      <c r="A232">
        <v>4929</v>
      </c>
      <c r="B232" s="2">
        <f t="shared" ref="B232:B238" si="6">A232-A231</f>
        <v>20</v>
      </c>
      <c r="C232" s="2">
        <f t="shared" si="5"/>
        <v>3.8800000000000026</v>
      </c>
      <c r="D232">
        <v>31</v>
      </c>
      <c r="E232">
        <v>55.8</v>
      </c>
      <c r="F232">
        <v>1</v>
      </c>
      <c r="G232">
        <v>-0.26</v>
      </c>
      <c r="H232">
        <v>-0.02</v>
      </c>
      <c r="I232">
        <v>0.52</v>
      </c>
    </row>
    <row r="233" spans="1:10" x14ac:dyDescent="0.3">
      <c r="A233">
        <v>4950</v>
      </c>
      <c r="B233" s="2">
        <f t="shared" si="6"/>
        <v>21</v>
      </c>
      <c r="C233" s="2">
        <f t="shared" ref="C233:C238" si="7">B233/1000+C232</f>
        <v>3.9010000000000025</v>
      </c>
      <c r="D233">
        <v>32</v>
      </c>
      <c r="E233">
        <v>57.6</v>
      </c>
      <c r="F233">
        <v>1</v>
      </c>
      <c r="G233">
        <v>-0.15</v>
      </c>
      <c r="H233">
        <v>0.2</v>
      </c>
      <c r="I233">
        <v>1.57</v>
      </c>
    </row>
    <row r="234" spans="1:10" x14ac:dyDescent="0.3">
      <c r="A234">
        <v>4969</v>
      </c>
      <c r="B234" s="2">
        <f t="shared" si="6"/>
        <v>19</v>
      </c>
      <c r="C234" s="2">
        <f t="shared" si="7"/>
        <v>3.9200000000000026</v>
      </c>
      <c r="D234">
        <v>33</v>
      </c>
      <c r="E234">
        <v>59.4</v>
      </c>
      <c r="F234">
        <v>1</v>
      </c>
      <c r="G234">
        <v>0.17</v>
      </c>
      <c r="H234">
        <v>0.22</v>
      </c>
      <c r="I234">
        <v>0.02</v>
      </c>
    </row>
    <row r="235" spans="1:10" x14ac:dyDescent="0.3">
      <c r="A235">
        <v>4989</v>
      </c>
      <c r="B235" s="2">
        <f t="shared" si="6"/>
        <v>20</v>
      </c>
      <c r="C235" s="2">
        <f t="shared" si="7"/>
        <v>3.9400000000000026</v>
      </c>
      <c r="D235">
        <v>34</v>
      </c>
      <c r="E235">
        <v>61.2</v>
      </c>
      <c r="F235">
        <v>1</v>
      </c>
      <c r="G235">
        <v>-0.09</v>
      </c>
      <c r="H235">
        <v>1.1100000000000001</v>
      </c>
      <c r="I235">
        <v>1.76</v>
      </c>
    </row>
    <row r="236" spans="1:10" x14ac:dyDescent="0.3">
      <c r="A236">
        <v>5009</v>
      </c>
      <c r="B236" s="2">
        <f t="shared" si="6"/>
        <v>20</v>
      </c>
      <c r="C236" s="2">
        <f t="shared" si="7"/>
        <v>3.9600000000000026</v>
      </c>
      <c r="D236">
        <v>35</v>
      </c>
      <c r="E236">
        <v>63</v>
      </c>
      <c r="F236">
        <v>1</v>
      </c>
      <c r="G236">
        <v>-0.44</v>
      </c>
      <c r="H236">
        <v>-0.2</v>
      </c>
      <c r="I236">
        <v>0.31</v>
      </c>
    </row>
    <row r="237" spans="1:10" x14ac:dyDescent="0.3">
      <c r="A237">
        <v>5029</v>
      </c>
      <c r="B237" s="2">
        <f t="shared" si="6"/>
        <v>20</v>
      </c>
      <c r="C237" s="2">
        <f t="shared" si="7"/>
        <v>3.9800000000000026</v>
      </c>
      <c r="D237">
        <v>36</v>
      </c>
      <c r="E237">
        <v>64.8</v>
      </c>
      <c r="F237">
        <v>1</v>
      </c>
      <c r="G237">
        <v>-0.04</v>
      </c>
      <c r="H237">
        <v>0.22</v>
      </c>
      <c r="I237">
        <v>1.88</v>
      </c>
    </row>
    <row r="238" spans="1:10" x14ac:dyDescent="0.3">
      <c r="A238">
        <v>5049</v>
      </c>
      <c r="B238" s="2">
        <f t="shared" si="6"/>
        <v>20</v>
      </c>
      <c r="C238" s="2">
        <f t="shared" si="7"/>
        <v>4.0000000000000027</v>
      </c>
      <c r="D238">
        <v>37</v>
      </c>
      <c r="E238">
        <v>66.599999999999994</v>
      </c>
      <c r="F238">
        <v>1</v>
      </c>
      <c r="G238">
        <v>0.03</v>
      </c>
      <c r="H238">
        <v>-0.24</v>
      </c>
      <c r="I238">
        <v>0.78</v>
      </c>
    </row>
    <row r="239" spans="1:10" x14ac:dyDescent="0.3">
      <c r="A239" s="1">
        <v>5069</v>
      </c>
      <c r="B239" s="1"/>
      <c r="C239" s="1"/>
      <c r="D239" s="1">
        <v>38</v>
      </c>
      <c r="E239" s="1">
        <v>68.400000000000006</v>
      </c>
      <c r="F239" s="1">
        <v>0</v>
      </c>
      <c r="G239" s="1">
        <v>-0.85</v>
      </c>
      <c r="H239" s="1">
        <v>-0.25</v>
      </c>
      <c r="I239" s="1">
        <v>1.42</v>
      </c>
      <c r="J239" s="1"/>
    </row>
    <row r="240" spans="1:10" x14ac:dyDescent="0.3">
      <c r="A240" s="1">
        <v>5089</v>
      </c>
      <c r="B240" s="1"/>
      <c r="C240" s="1"/>
      <c r="D240" s="1">
        <v>39</v>
      </c>
      <c r="E240" s="1">
        <v>70.2</v>
      </c>
      <c r="F240" s="1">
        <v>0</v>
      </c>
      <c r="G240" s="1">
        <v>-0.19</v>
      </c>
      <c r="H240" s="1">
        <v>-0.13</v>
      </c>
      <c r="I240" s="1">
        <v>0.4</v>
      </c>
      <c r="J240" s="1"/>
    </row>
    <row r="241" spans="1:10" x14ac:dyDescent="0.3">
      <c r="A241" s="1">
        <v>5109</v>
      </c>
      <c r="B241" s="1"/>
      <c r="C241" s="1"/>
      <c r="D241" s="1">
        <v>40</v>
      </c>
      <c r="E241" s="1">
        <v>72</v>
      </c>
      <c r="F241" s="1">
        <v>0</v>
      </c>
      <c r="G241" s="1">
        <v>-0.08</v>
      </c>
      <c r="H241" s="1">
        <v>0.88</v>
      </c>
      <c r="I241" s="1">
        <v>0.97</v>
      </c>
      <c r="J241" s="1"/>
    </row>
    <row r="242" spans="1:10" x14ac:dyDescent="0.3">
      <c r="A242" s="1">
        <v>5129</v>
      </c>
      <c r="B242" s="1"/>
      <c r="C242" s="1"/>
      <c r="D242" s="1">
        <v>41</v>
      </c>
      <c r="E242" s="1">
        <v>73.8</v>
      </c>
      <c r="F242" s="1">
        <v>0</v>
      </c>
      <c r="G242" s="1">
        <v>-0.24</v>
      </c>
      <c r="H242" s="1">
        <v>0.03</v>
      </c>
      <c r="I242" s="1">
        <v>-0.01</v>
      </c>
      <c r="J242" s="1"/>
    </row>
    <row r="243" spans="1:10" x14ac:dyDescent="0.3">
      <c r="A243" s="1">
        <v>5149</v>
      </c>
      <c r="B243" s="1"/>
      <c r="C243" s="1"/>
      <c r="D243" s="1">
        <v>42</v>
      </c>
      <c r="E243" s="1">
        <v>75.599999999999994</v>
      </c>
      <c r="F243" s="1">
        <v>0</v>
      </c>
      <c r="G243" s="1">
        <v>-0.83</v>
      </c>
      <c r="H243" s="1">
        <v>-0.56000000000000005</v>
      </c>
      <c r="I243" s="1">
        <v>1.33</v>
      </c>
      <c r="J243" s="1"/>
    </row>
    <row r="244" spans="1:10" x14ac:dyDescent="0.3">
      <c r="A244" s="1">
        <v>5169</v>
      </c>
      <c r="B244" s="1"/>
      <c r="C244" s="1"/>
      <c r="D244" s="1">
        <v>43</v>
      </c>
      <c r="E244" s="1">
        <v>77.400000000000006</v>
      </c>
      <c r="F244" s="1">
        <v>0</v>
      </c>
      <c r="G244" s="1">
        <v>0.28000000000000003</v>
      </c>
      <c r="H244" s="1">
        <v>-0.81</v>
      </c>
      <c r="I244" s="1">
        <v>-0.44</v>
      </c>
      <c r="J244" s="1"/>
    </row>
    <row r="245" spans="1:10" x14ac:dyDescent="0.3">
      <c r="A245" s="1">
        <v>5189</v>
      </c>
      <c r="B245" s="1"/>
      <c r="C245" s="1"/>
      <c r="D245" s="1">
        <v>44</v>
      </c>
      <c r="E245" s="1">
        <v>79.2</v>
      </c>
      <c r="F245" s="1">
        <v>0</v>
      </c>
      <c r="G245" s="1">
        <v>-0.57999999999999996</v>
      </c>
      <c r="H245" s="1">
        <v>0.41</v>
      </c>
      <c r="I245" s="1">
        <v>0.55000000000000004</v>
      </c>
      <c r="J245" s="1"/>
    </row>
    <row r="246" spans="1:10" x14ac:dyDescent="0.3">
      <c r="A246">
        <v>5209</v>
      </c>
      <c r="D246">
        <v>45</v>
      </c>
      <c r="E246">
        <v>81</v>
      </c>
      <c r="F246">
        <v>1</v>
      </c>
      <c r="G246">
        <v>0.17</v>
      </c>
      <c r="H246">
        <v>0.13</v>
      </c>
      <c r="I246">
        <v>0.19</v>
      </c>
    </row>
    <row r="247" spans="1:10" x14ac:dyDescent="0.3">
      <c r="A247">
        <v>5229</v>
      </c>
      <c r="D247">
        <v>46</v>
      </c>
      <c r="E247">
        <v>82.8</v>
      </c>
      <c r="F247">
        <v>1</v>
      </c>
      <c r="G247">
        <v>-0.25</v>
      </c>
      <c r="H247">
        <v>-0.12</v>
      </c>
      <c r="I247">
        <v>1.01</v>
      </c>
    </row>
    <row r="248" spans="1:10" x14ac:dyDescent="0.3">
      <c r="A248">
        <v>5250</v>
      </c>
      <c r="D248">
        <v>47</v>
      </c>
      <c r="E248">
        <v>84.6</v>
      </c>
      <c r="F248">
        <v>1</v>
      </c>
      <c r="G248">
        <v>0.56999999999999995</v>
      </c>
      <c r="H248">
        <v>0.01</v>
      </c>
      <c r="I248">
        <v>-0.28000000000000003</v>
      </c>
    </row>
    <row r="249" spans="1:10" x14ac:dyDescent="0.3">
      <c r="A249">
        <v>5269</v>
      </c>
      <c r="D249">
        <v>48</v>
      </c>
      <c r="E249">
        <v>86.4</v>
      </c>
      <c r="F249">
        <v>1</v>
      </c>
      <c r="G249">
        <v>-0.62</v>
      </c>
      <c r="H249">
        <v>-0.83</v>
      </c>
      <c r="I249">
        <v>1.24</v>
      </c>
    </row>
    <row r="250" spans="1:10" x14ac:dyDescent="0.3">
      <c r="A250">
        <v>5289</v>
      </c>
      <c r="D250">
        <v>49</v>
      </c>
      <c r="E250">
        <v>88.2</v>
      </c>
      <c r="F250">
        <v>1</v>
      </c>
      <c r="G250">
        <v>-0.09</v>
      </c>
      <c r="H250">
        <v>-0.44</v>
      </c>
      <c r="I250">
        <v>0.13</v>
      </c>
    </row>
    <row r="251" spans="1:10" x14ac:dyDescent="0.3">
      <c r="A251">
        <v>5309</v>
      </c>
      <c r="D251">
        <v>50</v>
      </c>
      <c r="E251">
        <v>90</v>
      </c>
      <c r="F251">
        <v>1</v>
      </c>
      <c r="G251">
        <v>0.26</v>
      </c>
      <c r="H251">
        <v>0.56000000000000005</v>
      </c>
      <c r="I251">
        <v>1.61</v>
      </c>
    </row>
    <row r="252" spans="1:10" x14ac:dyDescent="0.3">
      <c r="A252">
        <v>5329</v>
      </c>
      <c r="D252">
        <v>51</v>
      </c>
      <c r="E252">
        <v>91.8</v>
      </c>
      <c r="F252">
        <v>1</v>
      </c>
      <c r="G252">
        <v>1.37</v>
      </c>
      <c r="H252">
        <v>0.57999999999999996</v>
      </c>
      <c r="I252">
        <v>0.41</v>
      </c>
    </row>
    <row r="253" spans="1:10" x14ac:dyDescent="0.3">
      <c r="A253">
        <v>5349</v>
      </c>
      <c r="D253">
        <v>52</v>
      </c>
      <c r="E253">
        <v>93.6</v>
      </c>
      <c r="F253">
        <v>1</v>
      </c>
      <c r="G253">
        <v>-1.1100000000000001</v>
      </c>
      <c r="H253">
        <v>-1.27</v>
      </c>
      <c r="I253">
        <v>0.62</v>
      </c>
    </row>
    <row r="254" spans="1:10" x14ac:dyDescent="0.3">
      <c r="A254">
        <v>5369</v>
      </c>
      <c r="D254">
        <v>53</v>
      </c>
      <c r="E254">
        <v>95.4</v>
      </c>
      <c r="F254">
        <v>1</v>
      </c>
      <c r="G254">
        <v>-0.02</v>
      </c>
      <c r="H254">
        <v>-0.18</v>
      </c>
      <c r="I254">
        <v>0.75</v>
      </c>
    </row>
    <row r="255" spans="1:10" x14ac:dyDescent="0.3">
      <c r="A255">
        <v>5389</v>
      </c>
      <c r="D255">
        <v>54</v>
      </c>
      <c r="E255">
        <v>97.2</v>
      </c>
      <c r="F255">
        <v>1</v>
      </c>
      <c r="G255">
        <v>0.02</v>
      </c>
      <c r="H255">
        <v>0.48</v>
      </c>
      <c r="I255">
        <v>1.27</v>
      </c>
    </row>
    <row r="256" spans="1:10" x14ac:dyDescent="0.3">
      <c r="A256">
        <v>5409</v>
      </c>
      <c r="D256">
        <v>55</v>
      </c>
      <c r="E256">
        <v>99</v>
      </c>
      <c r="F256">
        <v>1</v>
      </c>
      <c r="G256">
        <v>0.18</v>
      </c>
      <c r="H256">
        <v>0.14000000000000001</v>
      </c>
      <c r="I256">
        <v>0.04</v>
      </c>
    </row>
    <row r="257" spans="1:9" x14ac:dyDescent="0.3">
      <c r="A257">
        <v>5429</v>
      </c>
      <c r="D257">
        <v>56</v>
      </c>
      <c r="E257">
        <v>100.8</v>
      </c>
      <c r="F257">
        <v>1</v>
      </c>
      <c r="G257">
        <v>-0.48</v>
      </c>
      <c r="H257">
        <v>-0.64</v>
      </c>
      <c r="I257">
        <v>1.05</v>
      </c>
    </row>
    <row r="258" spans="1:9" x14ac:dyDescent="0.3">
      <c r="A258">
        <v>5449</v>
      </c>
      <c r="D258">
        <v>57</v>
      </c>
      <c r="E258">
        <v>102.6</v>
      </c>
      <c r="F258">
        <v>1</v>
      </c>
      <c r="G258">
        <v>-0.08</v>
      </c>
      <c r="H258">
        <v>-0.2</v>
      </c>
      <c r="I258">
        <v>0.24</v>
      </c>
    </row>
    <row r="259" spans="1:9" x14ac:dyDescent="0.3">
      <c r="A259">
        <v>5469</v>
      </c>
      <c r="D259">
        <v>58</v>
      </c>
      <c r="E259">
        <v>104.4</v>
      </c>
      <c r="F259">
        <v>1</v>
      </c>
      <c r="G259">
        <v>-0.14000000000000001</v>
      </c>
      <c r="H259">
        <v>0.26</v>
      </c>
      <c r="I259">
        <v>1.32</v>
      </c>
    </row>
    <row r="260" spans="1:9" x14ac:dyDescent="0.3">
      <c r="A260">
        <v>5489</v>
      </c>
      <c r="D260">
        <v>59</v>
      </c>
      <c r="E260">
        <v>106.2</v>
      </c>
      <c r="F260">
        <v>1</v>
      </c>
      <c r="G260">
        <v>-0.25</v>
      </c>
      <c r="H260">
        <v>-0.03</v>
      </c>
      <c r="I260">
        <v>-0.17</v>
      </c>
    </row>
    <row r="261" spans="1:9" x14ac:dyDescent="0.3">
      <c r="A261">
        <v>5509</v>
      </c>
      <c r="D261">
        <v>60</v>
      </c>
      <c r="E261">
        <v>108</v>
      </c>
      <c r="F261">
        <v>1</v>
      </c>
      <c r="G261">
        <v>-0.5</v>
      </c>
      <c r="H261">
        <v>-0.23</v>
      </c>
      <c r="I261">
        <v>0.96</v>
      </c>
    </row>
    <row r="262" spans="1:9" x14ac:dyDescent="0.3">
      <c r="A262">
        <v>5529</v>
      </c>
      <c r="D262">
        <v>61</v>
      </c>
      <c r="E262">
        <v>109.8</v>
      </c>
      <c r="F262">
        <v>1</v>
      </c>
      <c r="G262">
        <v>0.25</v>
      </c>
      <c r="H262">
        <v>7.0000000000000007E-2</v>
      </c>
      <c r="I262">
        <v>0.34</v>
      </c>
    </row>
    <row r="263" spans="1:9" x14ac:dyDescent="0.3">
      <c r="A263">
        <v>5550</v>
      </c>
      <c r="D263">
        <v>62</v>
      </c>
      <c r="E263">
        <v>111.6</v>
      </c>
      <c r="F263">
        <v>1</v>
      </c>
      <c r="G263">
        <v>0.12</v>
      </c>
      <c r="H263">
        <v>0.44</v>
      </c>
      <c r="I263">
        <v>1.3</v>
      </c>
    </row>
    <row r="264" spans="1:9" x14ac:dyDescent="0.3">
      <c r="A264">
        <v>5569</v>
      </c>
      <c r="D264">
        <v>63</v>
      </c>
      <c r="E264">
        <v>113.4</v>
      </c>
      <c r="F264">
        <v>1</v>
      </c>
      <c r="G264">
        <v>-0.59</v>
      </c>
      <c r="H264">
        <v>-7.0000000000000007E-2</v>
      </c>
      <c r="I264">
        <v>0.11</v>
      </c>
    </row>
    <row r="265" spans="1:9" x14ac:dyDescent="0.3">
      <c r="A265">
        <v>5590</v>
      </c>
      <c r="D265">
        <v>64</v>
      </c>
      <c r="E265">
        <v>115.2</v>
      </c>
      <c r="F265">
        <v>1</v>
      </c>
      <c r="G265">
        <v>-0.6</v>
      </c>
      <c r="H265">
        <v>-0.46</v>
      </c>
      <c r="I265">
        <v>1.08</v>
      </c>
    </row>
    <row r="266" spans="1:9" x14ac:dyDescent="0.3">
      <c r="A266">
        <v>5609</v>
      </c>
      <c r="D266">
        <v>65</v>
      </c>
      <c r="E266">
        <v>117</v>
      </c>
      <c r="F266">
        <v>1</v>
      </c>
      <c r="G266">
        <v>0.06</v>
      </c>
      <c r="H266">
        <v>0.47</v>
      </c>
      <c r="I266">
        <v>0.24</v>
      </c>
    </row>
    <row r="267" spans="1:9" x14ac:dyDescent="0.3">
      <c r="A267">
        <v>5629</v>
      </c>
      <c r="D267">
        <v>66</v>
      </c>
      <c r="E267">
        <v>118.8</v>
      </c>
      <c r="F267">
        <v>1</v>
      </c>
      <c r="G267">
        <v>0.16</v>
      </c>
      <c r="H267">
        <v>0.41</v>
      </c>
      <c r="I267">
        <v>1.05</v>
      </c>
    </row>
    <row r="268" spans="1:9" x14ac:dyDescent="0.3">
      <c r="A268">
        <v>5649</v>
      </c>
      <c r="D268">
        <v>67</v>
      </c>
      <c r="E268">
        <v>120.6</v>
      </c>
      <c r="F268">
        <v>1</v>
      </c>
      <c r="G268">
        <v>-0.43</v>
      </c>
      <c r="H268">
        <v>0.2</v>
      </c>
      <c r="I268">
        <v>-0.16</v>
      </c>
    </row>
    <row r="269" spans="1:9" x14ac:dyDescent="0.3">
      <c r="A269">
        <v>5669</v>
      </c>
      <c r="D269">
        <v>68</v>
      </c>
      <c r="E269">
        <v>122.4</v>
      </c>
      <c r="F269">
        <v>1</v>
      </c>
      <c r="G269">
        <v>-0.28000000000000003</v>
      </c>
      <c r="H269">
        <v>-0.11</v>
      </c>
      <c r="I269">
        <v>1.03</v>
      </c>
    </row>
    <row r="270" spans="1:9" x14ac:dyDescent="0.3">
      <c r="A270">
        <v>5689</v>
      </c>
      <c r="D270">
        <v>69</v>
      </c>
      <c r="E270">
        <v>124.2</v>
      </c>
      <c r="F270">
        <v>1</v>
      </c>
      <c r="G270">
        <v>-0.1</v>
      </c>
      <c r="H270">
        <v>0.13</v>
      </c>
      <c r="I270">
        <v>0.22</v>
      </c>
    </row>
    <row r="271" spans="1:9" x14ac:dyDescent="0.3">
      <c r="A271">
        <v>5709</v>
      </c>
      <c r="D271">
        <v>70</v>
      </c>
      <c r="E271">
        <v>126</v>
      </c>
      <c r="F271">
        <v>1</v>
      </c>
      <c r="G271">
        <v>-0.17</v>
      </c>
      <c r="H271">
        <v>0.36</v>
      </c>
      <c r="I271">
        <v>1.01</v>
      </c>
    </row>
    <row r="272" spans="1:9" x14ac:dyDescent="0.3">
      <c r="A272">
        <v>5729</v>
      </c>
      <c r="D272">
        <v>71</v>
      </c>
      <c r="E272">
        <v>127.8</v>
      </c>
      <c r="F272">
        <v>1</v>
      </c>
      <c r="G272">
        <v>-0.36</v>
      </c>
      <c r="H272">
        <v>0.46</v>
      </c>
      <c r="I272">
        <v>0.02</v>
      </c>
    </row>
    <row r="273" spans="1:9" x14ac:dyDescent="0.3">
      <c r="A273">
        <v>5749</v>
      </c>
      <c r="D273">
        <v>72</v>
      </c>
      <c r="E273">
        <v>129.6</v>
      </c>
      <c r="F273">
        <v>1</v>
      </c>
      <c r="G273">
        <v>-0.39</v>
      </c>
      <c r="H273">
        <v>0.02</v>
      </c>
      <c r="I273">
        <v>0.67</v>
      </c>
    </row>
    <row r="274" spans="1:9" x14ac:dyDescent="0.3">
      <c r="A274">
        <v>5769</v>
      </c>
      <c r="D274">
        <v>73</v>
      </c>
      <c r="E274">
        <v>131.4</v>
      </c>
      <c r="F274">
        <v>1</v>
      </c>
      <c r="G274">
        <v>0.15</v>
      </c>
      <c r="H274">
        <v>0.63</v>
      </c>
      <c r="I274">
        <v>0.08</v>
      </c>
    </row>
    <row r="275" spans="1:9" x14ac:dyDescent="0.3">
      <c r="A275">
        <v>5789</v>
      </c>
      <c r="D275">
        <v>74</v>
      </c>
      <c r="E275">
        <v>133.19999999999999</v>
      </c>
      <c r="F275">
        <v>1</v>
      </c>
      <c r="G275">
        <v>-0.14000000000000001</v>
      </c>
      <c r="H275">
        <v>0.19</v>
      </c>
      <c r="I275">
        <v>0.76</v>
      </c>
    </row>
    <row r="276" spans="1:9" x14ac:dyDescent="0.3">
      <c r="A276">
        <v>5809</v>
      </c>
      <c r="D276">
        <v>75</v>
      </c>
      <c r="E276">
        <v>135</v>
      </c>
      <c r="F276">
        <v>1</v>
      </c>
      <c r="G276">
        <v>-0.22</v>
      </c>
      <c r="H276">
        <v>0.02</v>
      </c>
      <c r="I276">
        <v>0.08</v>
      </c>
    </row>
    <row r="277" spans="1:9" x14ac:dyDescent="0.3">
      <c r="A277">
        <v>5829</v>
      </c>
      <c r="D277">
        <v>76</v>
      </c>
      <c r="E277">
        <v>136.80000000000001</v>
      </c>
      <c r="F277">
        <v>1</v>
      </c>
      <c r="G277">
        <v>-0.15</v>
      </c>
      <c r="H277">
        <v>0.34</v>
      </c>
      <c r="I277">
        <v>0.48</v>
      </c>
    </row>
    <row r="278" spans="1:9" x14ac:dyDescent="0.3">
      <c r="A278">
        <v>5850</v>
      </c>
      <c r="D278">
        <v>77</v>
      </c>
      <c r="E278">
        <v>138.6</v>
      </c>
      <c r="F278">
        <v>1</v>
      </c>
      <c r="G278">
        <v>0.06</v>
      </c>
      <c r="H278">
        <v>0.94</v>
      </c>
      <c r="I278">
        <v>-0.15</v>
      </c>
    </row>
    <row r="279" spans="1:9" x14ac:dyDescent="0.3">
      <c r="A279">
        <v>5869</v>
      </c>
      <c r="D279">
        <v>78</v>
      </c>
      <c r="E279">
        <v>140.4</v>
      </c>
      <c r="F279">
        <v>1</v>
      </c>
      <c r="G279">
        <v>0.03</v>
      </c>
      <c r="H279">
        <v>-0.1</v>
      </c>
      <c r="I279">
        <v>0.24</v>
      </c>
    </row>
    <row r="280" spans="1:9" x14ac:dyDescent="0.3">
      <c r="A280">
        <v>5890</v>
      </c>
      <c r="D280">
        <v>79</v>
      </c>
      <c r="E280">
        <v>142.19999999999999</v>
      </c>
      <c r="F280">
        <v>1</v>
      </c>
      <c r="G280">
        <v>0.3</v>
      </c>
      <c r="H280">
        <v>0.64</v>
      </c>
      <c r="I280">
        <v>-0.59</v>
      </c>
    </row>
    <row r="281" spans="1:9" x14ac:dyDescent="0.3">
      <c r="A281">
        <v>5909</v>
      </c>
      <c r="D281">
        <v>80</v>
      </c>
      <c r="E281">
        <v>144</v>
      </c>
      <c r="F281">
        <v>1</v>
      </c>
      <c r="G281">
        <v>-0.05</v>
      </c>
      <c r="H281">
        <v>-0.18</v>
      </c>
      <c r="I281">
        <v>0.57999999999999996</v>
      </c>
    </row>
    <row r="282" spans="1:9" x14ac:dyDescent="0.3">
      <c r="A282">
        <v>5929</v>
      </c>
      <c r="D282">
        <v>81</v>
      </c>
      <c r="E282">
        <v>145.80000000000001</v>
      </c>
      <c r="F282">
        <v>1</v>
      </c>
      <c r="G282">
        <v>7.0000000000000007E-2</v>
      </c>
      <c r="H282">
        <v>0.57999999999999996</v>
      </c>
      <c r="I282">
        <v>-0.66</v>
      </c>
    </row>
    <row r="283" spans="1:9" x14ac:dyDescent="0.3">
      <c r="A283">
        <v>5949</v>
      </c>
      <c r="D283">
        <v>82</v>
      </c>
      <c r="E283">
        <v>147.6</v>
      </c>
      <c r="F283">
        <v>1</v>
      </c>
      <c r="G283">
        <v>-0.09</v>
      </c>
      <c r="H283">
        <v>0.3</v>
      </c>
      <c r="I283">
        <v>0.45</v>
      </c>
    </row>
    <row r="284" spans="1:9" x14ac:dyDescent="0.3">
      <c r="A284">
        <v>5969</v>
      </c>
      <c r="D284">
        <v>83</v>
      </c>
      <c r="E284">
        <v>149.4</v>
      </c>
      <c r="F284">
        <v>1</v>
      </c>
      <c r="G284">
        <v>-0.15</v>
      </c>
      <c r="H284">
        <v>0.25</v>
      </c>
      <c r="I284">
        <v>-0.5</v>
      </c>
    </row>
    <row r="285" spans="1:9" x14ac:dyDescent="0.3">
      <c r="A285">
        <v>5989</v>
      </c>
      <c r="D285">
        <v>84</v>
      </c>
      <c r="E285">
        <v>151.19999999999999</v>
      </c>
      <c r="F285">
        <v>1</v>
      </c>
      <c r="G285">
        <v>-0.21</v>
      </c>
      <c r="H285">
        <v>0.39</v>
      </c>
      <c r="I285">
        <v>0.52</v>
      </c>
    </row>
    <row r="286" spans="1:9" x14ac:dyDescent="0.3">
      <c r="A286">
        <v>6009</v>
      </c>
      <c r="D286">
        <v>85</v>
      </c>
      <c r="E286">
        <v>153</v>
      </c>
      <c r="F286">
        <v>1</v>
      </c>
      <c r="G286">
        <v>0.33</v>
      </c>
      <c r="H286">
        <v>-0.55000000000000004</v>
      </c>
      <c r="I286">
        <v>-0.43</v>
      </c>
    </row>
    <row r="287" spans="1:9" x14ac:dyDescent="0.3">
      <c r="A287">
        <v>6029</v>
      </c>
      <c r="D287">
        <v>86</v>
      </c>
      <c r="E287">
        <v>154.80000000000001</v>
      </c>
      <c r="F287">
        <v>1</v>
      </c>
      <c r="G287">
        <v>-0.17</v>
      </c>
      <c r="H287">
        <v>-7.0000000000000007E-2</v>
      </c>
      <c r="I287">
        <v>0.44</v>
      </c>
    </row>
    <row r="288" spans="1:9" x14ac:dyDescent="0.3">
      <c r="A288">
        <v>6049</v>
      </c>
      <c r="D288">
        <v>87</v>
      </c>
      <c r="E288">
        <v>156.6</v>
      </c>
      <c r="F288">
        <v>1</v>
      </c>
      <c r="G288">
        <v>-0.13</v>
      </c>
      <c r="H288">
        <v>0.38</v>
      </c>
      <c r="I288">
        <v>-0.8</v>
      </c>
    </row>
    <row r="289" spans="1:9" x14ac:dyDescent="0.3">
      <c r="A289">
        <v>6069</v>
      </c>
      <c r="D289">
        <v>88</v>
      </c>
      <c r="E289">
        <v>158.4</v>
      </c>
      <c r="F289">
        <v>1</v>
      </c>
      <c r="G289">
        <v>-0.06</v>
      </c>
      <c r="H289">
        <v>0.08</v>
      </c>
      <c r="I289">
        <v>0.05</v>
      </c>
    </row>
    <row r="290" spans="1:9" x14ac:dyDescent="0.3">
      <c r="A290">
        <v>6089</v>
      </c>
      <c r="D290">
        <v>89</v>
      </c>
      <c r="E290">
        <v>160.19999999999999</v>
      </c>
      <c r="F290">
        <v>1</v>
      </c>
      <c r="G290">
        <v>0.36</v>
      </c>
      <c r="H290">
        <v>0.23</v>
      </c>
      <c r="I290">
        <v>-0.7</v>
      </c>
    </row>
    <row r="291" spans="1:9" x14ac:dyDescent="0.3">
      <c r="A291">
        <v>6109</v>
      </c>
      <c r="D291">
        <v>90</v>
      </c>
      <c r="E291">
        <v>162</v>
      </c>
      <c r="F291">
        <v>1</v>
      </c>
      <c r="G291">
        <v>0.03</v>
      </c>
      <c r="H291">
        <v>0.05</v>
      </c>
      <c r="I291">
        <v>0.15</v>
      </c>
    </row>
    <row r="292" spans="1:9" x14ac:dyDescent="0.3">
      <c r="A292">
        <v>6129</v>
      </c>
      <c r="D292">
        <v>91</v>
      </c>
      <c r="E292">
        <v>163.80000000000001</v>
      </c>
      <c r="F292">
        <v>1</v>
      </c>
      <c r="G292">
        <v>-0.08</v>
      </c>
      <c r="H292">
        <v>-0.37</v>
      </c>
      <c r="I292">
        <v>-0.37</v>
      </c>
    </row>
    <row r="293" spans="1:9" x14ac:dyDescent="0.3">
      <c r="A293">
        <v>6149</v>
      </c>
      <c r="D293">
        <v>92</v>
      </c>
      <c r="E293">
        <v>165.6</v>
      </c>
      <c r="F293">
        <v>1</v>
      </c>
      <c r="G293">
        <v>-0.09</v>
      </c>
      <c r="H293">
        <v>-0.23</v>
      </c>
      <c r="I293">
        <v>0.22</v>
      </c>
    </row>
    <row r="294" spans="1:9" x14ac:dyDescent="0.3">
      <c r="A294">
        <v>6169</v>
      </c>
      <c r="D294">
        <v>93</v>
      </c>
      <c r="E294">
        <v>167.4</v>
      </c>
      <c r="F294">
        <v>1</v>
      </c>
      <c r="G294">
        <v>0.14000000000000001</v>
      </c>
      <c r="H294">
        <v>-0.01</v>
      </c>
      <c r="I294">
        <v>-0.56000000000000005</v>
      </c>
    </row>
    <row r="295" spans="1:9" x14ac:dyDescent="0.3">
      <c r="A295">
        <v>6190</v>
      </c>
      <c r="D295">
        <v>94</v>
      </c>
      <c r="E295">
        <v>169.2</v>
      </c>
      <c r="F295">
        <v>1</v>
      </c>
      <c r="G295">
        <v>0.11</v>
      </c>
      <c r="H295">
        <v>0.33</v>
      </c>
      <c r="I295">
        <v>0.17</v>
      </c>
    </row>
    <row r="296" spans="1:9" x14ac:dyDescent="0.3">
      <c r="A296">
        <v>6209</v>
      </c>
      <c r="D296">
        <v>95</v>
      </c>
      <c r="E296">
        <v>171</v>
      </c>
      <c r="F296">
        <v>1</v>
      </c>
      <c r="G296">
        <v>0.26</v>
      </c>
      <c r="H296">
        <v>0.04</v>
      </c>
      <c r="I296">
        <v>-0.4</v>
      </c>
    </row>
    <row r="297" spans="1:9" x14ac:dyDescent="0.3">
      <c r="A297">
        <v>6230</v>
      </c>
      <c r="D297">
        <v>96</v>
      </c>
      <c r="E297">
        <v>172.8</v>
      </c>
      <c r="F297">
        <v>1</v>
      </c>
      <c r="G297">
        <v>-0.08</v>
      </c>
      <c r="H297">
        <v>0.2</v>
      </c>
      <c r="I297">
        <v>-7.0000000000000007E-2</v>
      </c>
    </row>
    <row r="298" spans="1:9" x14ac:dyDescent="0.3">
      <c r="A298">
        <v>6249</v>
      </c>
      <c r="D298">
        <v>97</v>
      </c>
      <c r="E298">
        <v>174.6</v>
      </c>
      <c r="F298">
        <v>1</v>
      </c>
      <c r="G298">
        <v>0.01</v>
      </c>
      <c r="H298">
        <v>-0.28999999999999998</v>
      </c>
      <c r="I298">
        <v>-0.42</v>
      </c>
    </row>
    <row r="299" spans="1:9" x14ac:dyDescent="0.3">
      <c r="A299">
        <v>6269</v>
      </c>
      <c r="D299">
        <v>98</v>
      </c>
      <c r="E299">
        <v>176.4</v>
      </c>
      <c r="F299">
        <v>1</v>
      </c>
      <c r="G299">
        <v>0.28000000000000003</v>
      </c>
      <c r="H299">
        <v>-0.01</v>
      </c>
      <c r="I299">
        <v>-0.33</v>
      </c>
    </row>
    <row r="300" spans="1:9" x14ac:dyDescent="0.3">
      <c r="A300">
        <v>6289</v>
      </c>
      <c r="D300">
        <v>99</v>
      </c>
      <c r="E300">
        <v>178.2</v>
      </c>
      <c r="F300">
        <v>1</v>
      </c>
      <c r="G300">
        <v>-0.02</v>
      </c>
      <c r="H300">
        <v>0.24</v>
      </c>
      <c r="I300">
        <v>-0.19</v>
      </c>
    </row>
    <row r="301" spans="1:9" x14ac:dyDescent="0.3">
      <c r="A301">
        <v>6309</v>
      </c>
      <c r="D301">
        <v>100</v>
      </c>
      <c r="E301">
        <v>180</v>
      </c>
      <c r="F301">
        <v>1</v>
      </c>
      <c r="G301">
        <v>-0.05</v>
      </c>
      <c r="H301">
        <v>-0.08</v>
      </c>
      <c r="I301">
        <v>-0.26</v>
      </c>
    </row>
    <row r="302" spans="1:9" x14ac:dyDescent="0.3">
      <c r="A302">
        <v>6329</v>
      </c>
      <c r="D302">
        <v>101</v>
      </c>
      <c r="E302">
        <v>181.8</v>
      </c>
      <c r="F302">
        <v>1</v>
      </c>
      <c r="G302">
        <v>-0.04</v>
      </c>
      <c r="H302">
        <v>-0.32</v>
      </c>
      <c r="I302">
        <v>-0.1</v>
      </c>
    </row>
    <row r="303" spans="1:9" x14ac:dyDescent="0.3">
      <c r="A303">
        <v>6349</v>
      </c>
      <c r="D303">
        <v>102</v>
      </c>
      <c r="E303">
        <v>183.6</v>
      </c>
      <c r="F303">
        <v>1</v>
      </c>
      <c r="G303">
        <v>0.04</v>
      </c>
      <c r="H303">
        <v>0.05</v>
      </c>
      <c r="I303">
        <v>-0.21</v>
      </c>
    </row>
    <row r="304" spans="1:9" x14ac:dyDescent="0.3">
      <c r="A304">
        <v>6369</v>
      </c>
      <c r="D304">
        <v>103</v>
      </c>
      <c r="E304">
        <v>185.4</v>
      </c>
      <c r="F304">
        <v>1</v>
      </c>
      <c r="G304">
        <v>0.08</v>
      </c>
      <c r="H304">
        <v>0.04</v>
      </c>
      <c r="I304">
        <v>-7.0000000000000007E-2</v>
      </c>
    </row>
    <row r="305" spans="1:9" x14ac:dyDescent="0.3">
      <c r="A305">
        <v>6389</v>
      </c>
      <c r="D305">
        <v>104</v>
      </c>
      <c r="E305">
        <v>187.2</v>
      </c>
      <c r="F305">
        <v>1</v>
      </c>
      <c r="G305">
        <v>0.03</v>
      </c>
      <c r="H305">
        <v>0.31</v>
      </c>
      <c r="I305">
        <v>-0.28000000000000003</v>
      </c>
    </row>
    <row r="306" spans="1:9" x14ac:dyDescent="0.3">
      <c r="A306">
        <v>6409</v>
      </c>
      <c r="D306">
        <v>105</v>
      </c>
      <c r="E306">
        <v>189</v>
      </c>
      <c r="F306">
        <v>1</v>
      </c>
      <c r="G306">
        <v>-0.06</v>
      </c>
      <c r="H306">
        <v>-0.43</v>
      </c>
      <c r="I306">
        <v>-0.01</v>
      </c>
    </row>
    <row r="307" spans="1:9" x14ac:dyDescent="0.3">
      <c r="A307">
        <v>6429</v>
      </c>
      <c r="D307">
        <v>106</v>
      </c>
      <c r="E307">
        <v>190.8</v>
      </c>
      <c r="F307">
        <v>1</v>
      </c>
      <c r="G307">
        <v>0.13</v>
      </c>
      <c r="H307">
        <v>0.25</v>
      </c>
      <c r="I307">
        <v>-0.44</v>
      </c>
    </row>
    <row r="308" spans="1:9" x14ac:dyDescent="0.3">
      <c r="A308">
        <v>6449</v>
      </c>
      <c r="D308">
        <v>107</v>
      </c>
      <c r="E308">
        <v>192.6</v>
      </c>
      <c r="F308">
        <v>1</v>
      </c>
      <c r="G308">
        <v>0.01</v>
      </c>
      <c r="H308">
        <v>-0.2</v>
      </c>
      <c r="I308">
        <v>0.01</v>
      </c>
    </row>
    <row r="309" spans="1:9" x14ac:dyDescent="0.3">
      <c r="A309">
        <v>6469</v>
      </c>
      <c r="D309">
        <v>108</v>
      </c>
      <c r="E309">
        <v>194.4</v>
      </c>
      <c r="F309">
        <v>1</v>
      </c>
      <c r="G309">
        <v>7.0000000000000007E-2</v>
      </c>
      <c r="H309">
        <v>7.0000000000000007E-2</v>
      </c>
      <c r="I309">
        <v>-0.24</v>
      </c>
    </row>
    <row r="310" spans="1:9" x14ac:dyDescent="0.3">
      <c r="A310">
        <v>6490</v>
      </c>
      <c r="D310">
        <v>109</v>
      </c>
      <c r="E310">
        <v>196.2</v>
      </c>
      <c r="F310">
        <v>1</v>
      </c>
      <c r="G310">
        <v>-0.15</v>
      </c>
      <c r="H310">
        <v>-0.17</v>
      </c>
      <c r="I310">
        <v>-0.24</v>
      </c>
    </row>
    <row r="311" spans="1:9" x14ac:dyDescent="0.3">
      <c r="A311">
        <v>6509</v>
      </c>
      <c r="D311">
        <v>110</v>
      </c>
      <c r="E311">
        <v>198</v>
      </c>
      <c r="F311">
        <v>1</v>
      </c>
      <c r="G311">
        <v>0.01</v>
      </c>
      <c r="H311">
        <v>-0.04</v>
      </c>
      <c r="I311">
        <v>-0.23</v>
      </c>
    </row>
    <row r="312" spans="1:9" x14ac:dyDescent="0.3">
      <c r="A312">
        <v>6530</v>
      </c>
      <c r="D312">
        <v>111</v>
      </c>
      <c r="E312">
        <v>199.8</v>
      </c>
      <c r="F312">
        <v>1</v>
      </c>
      <c r="G312">
        <v>0.08</v>
      </c>
      <c r="H312">
        <v>-0.06</v>
      </c>
      <c r="I312">
        <v>-0.14000000000000001</v>
      </c>
    </row>
    <row r="313" spans="1:9" x14ac:dyDescent="0.3">
      <c r="A313">
        <v>6549</v>
      </c>
      <c r="D313">
        <v>112</v>
      </c>
      <c r="E313">
        <v>201.6</v>
      </c>
      <c r="F313">
        <v>1</v>
      </c>
      <c r="G313">
        <v>0.1</v>
      </c>
      <c r="H313">
        <v>0.05</v>
      </c>
      <c r="I313">
        <v>-0.25</v>
      </c>
    </row>
    <row r="314" spans="1:9" x14ac:dyDescent="0.3">
      <c r="A314">
        <v>6569</v>
      </c>
      <c r="D314">
        <v>113</v>
      </c>
      <c r="E314">
        <v>203.4</v>
      </c>
      <c r="F314">
        <v>1</v>
      </c>
      <c r="G314">
        <v>-0.06</v>
      </c>
      <c r="H314">
        <v>-0.13</v>
      </c>
      <c r="I314">
        <v>-0.12</v>
      </c>
    </row>
    <row r="315" spans="1:9" x14ac:dyDescent="0.3">
      <c r="A315">
        <v>6589</v>
      </c>
      <c r="D315">
        <v>114</v>
      </c>
      <c r="E315">
        <v>205.2</v>
      </c>
      <c r="F315">
        <v>1</v>
      </c>
      <c r="G315">
        <v>0.09</v>
      </c>
      <c r="H315">
        <v>0.09</v>
      </c>
      <c r="I315">
        <v>-0.3</v>
      </c>
    </row>
    <row r="316" spans="1:9" x14ac:dyDescent="0.3">
      <c r="A316">
        <v>6609</v>
      </c>
      <c r="D316">
        <v>115</v>
      </c>
      <c r="E316">
        <v>207</v>
      </c>
      <c r="F316">
        <v>1</v>
      </c>
      <c r="G316">
        <v>-0.06</v>
      </c>
      <c r="H316">
        <v>-0.18</v>
      </c>
      <c r="I316">
        <v>-0.15</v>
      </c>
    </row>
    <row r="317" spans="1:9" x14ac:dyDescent="0.3">
      <c r="A317">
        <v>6629</v>
      </c>
      <c r="D317">
        <v>116</v>
      </c>
      <c r="E317">
        <v>208.8</v>
      </c>
      <c r="F317">
        <v>1</v>
      </c>
      <c r="G317">
        <v>0.18</v>
      </c>
      <c r="H317">
        <v>0.06</v>
      </c>
      <c r="I317">
        <v>-0.27</v>
      </c>
    </row>
    <row r="318" spans="1:9" x14ac:dyDescent="0.3">
      <c r="A318">
        <v>6649</v>
      </c>
      <c r="D318">
        <v>117</v>
      </c>
      <c r="E318">
        <v>210.6</v>
      </c>
      <c r="F318">
        <v>1</v>
      </c>
      <c r="G318">
        <v>-7.0000000000000007E-2</v>
      </c>
      <c r="H318">
        <v>-0.14000000000000001</v>
      </c>
      <c r="I318">
        <v>-0.12</v>
      </c>
    </row>
    <row r="319" spans="1:9" x14ac:dyDescent="0.3">
      <c r="A319">
        <v>6669</v>
      </c>
      <c r="D319">
        <v>118</v>
      </c>
      <c r="E319">
        <v>212.4</v>
      </c>
      <c r="F319">
        <v>1</v>
      </c>
      <c r="G319">
        <v>-0.12</v>
      </c>
      <c r="H319">
        <v>7.0000000000000007E-2</v>
      </c>
      <c r="I319">
        <v>-0.32</v>
      </c>
    </row>
    <row r="320" spans="1:9" x14ac:dyDescent="0.3">
      <c r="A320">
        <v>6689</v>
      </c>
      <c r="D320">
        <v>119</v>
      </c>
      <c r="E320">
        <v>214.2</v>
      </c>
      <c r="F320">
        <v>1</v>
      </c>
      <c r="G320">
        <v>0.18</v>
      </c>
      <c r="H320">
        <v>0.15</v>
      </c>
      <c r="I320">
        <v>-0.24</v>
      </c>
    </row>
    <row r="321" spans="1:9" x14ac:dyDescent="0.3">
      <c r="A321">
        <v>6709</v>
      </c>
      <c r="D321">
        <v>120</v>
      </c>
      <c r="E321">
        <v>216</v>
      </c>
      <c r="F321">
        <v>1</v>
      </c>
      <c r="G321">
        <v>-0.08</v>
      </c>
      <c r="H321">
        <v>-0.27</v>
      </c>
      <c r="I321">
        <v>-0.06</v>
      </c>
    </row>
    <row r="322" spans="1:9" x14ac:dyDescent="0.3">
      <c r="A322">
        <v>6729</v>
      </c>
      <c r="D322">
        <v>121</v>
      </c>
      <c r="E322">
        <v>217.8</v>
      </c>
      <c r="F322">
        <v>1</v>
      </c>
      <c r="G322">
        <v>-7.0000000000000007E-2</v>
      </c>
      <c r="H322">
        <v>0.34</v>
      </c>
      <c r="I322">
        <v>-0.26</v>
      </c>
    </row>
    <row r="323" spans="1:9" x14ac:dyDescent="0.3">
      <c r="A323">
        <v>6749</v>
      </c>
      <c r="D323">
        <v>122</v>
      </c>
      <c r="E323">
        <v>219.6</v>
      </c>
      <c r="F323">
        <v>1</v>
      </c>
      <c r="G323">
        <v>0.16</v>
      </c>
      <c r="H323">
        <v>-0.1</v>
      </c>
      <c r="I323">
        <v>-0.23</v>
      </c>
    </row>
    <row r="324" spans="1:9" x14ac:dyDescent="0.3">
      <c r="A324">
        <v>6769</v>
      </c>
      <c r="D324">
        <v>123</v>
      </c>
      <c r="E324">
        <v>221.4</v>
      </c>
      <c r="F324">
        <v>1</v>
      </c>
      <c r="G324">
        <v>0</v>
      </c>
      <c r="H324">
        <v>-7.0000000000000007E-2</v>
      </c>
      <c r="I324">
        <v>-0.6</v>
      </c>
    </row>
    <row r="325" spans="1:9" x14ac:dyDescent="0.3">
      <c r="A325">
        <v>6790</v>
      </c>
      <c r="D325">
        <v>124</v>
      </c>
      <c r="E325">
        <v>223.2</v>
      </c>
      <c r="F325">
        <v>1</v>
      </c>
      <c r="G325">
        <v>-0.1</v>
      </c>
      <c r="H325">
        <v>-0.03</v>
      </c>
      <c r="I325">
        <v>-0.18</v>
      </c>
    </row>
    <row r="326" spans="1:9" x14ac:dyDescent="0.3">
      <c r="A326">
        <v>6809</v>
      </c>
      <c r="D326">
        <v>125</v>
      </c>
      <c r="E326">
        <v>225</v>
      </c>
      <c r="F326">
        <v>1</v>
      </c>
      <c r="G326">
        <v>0.15</v>
      </c>
      <c r="H326">
        <v>0.23</v>
      </c>
      <c r="I326">
        <v>-0.27</v>
      </c>
    </row>
    <row r="327" spans="1:9" x14ac:dyDescent="0.3">
      <c r="A327">
        <v>6830</v>
      </c>
      <c r="D327">
        <v>126</v>
      </c>
      <c r="E327">
        <v>226.8</v>
      </c>
      <c r="F327">
        <v>1</v>
      </c>
      <c r="G327">
        <v>0.03</v>
      </c>
      <c r="H327">
        <v>7.0000000000000007E-2</v>
      </c>
      <c r="I327">
        <v>-0.32</v>
      </c>
    </row>
    <row r="328" spans="1:9" x14ac:dyDescent="0.3">
      <c r="A328">
        <v>6849</v>
      </c>
      <c r="D328">
        <v>127</v>
      </c>
      <c r="E328">
        <v>228.6</v>
      </c>
      <c r="F328">
        <v>1</v>
      </c>
      <c r="G328">
        <v>-0.25</v>
      </c>
      <c r="H328">
        <v>0.08</v>
      </c>
      <c r="I328">
        <v>-0.27</v>
      </c>
    </row>
    <row r="329" spans="1:9" x14ac:dyDescent="0.3">
      <c r="A329">
        <v>6870</v>
      </c>
      <c r="D329">
        <v>128</v>
      </c>
      <c r="E329">
        <v>230.4</v>
      </c>
      <c r="F329">
        <v>1</v>
      </c>
      <c r="G329">
        <v>-0.14000000000000001</v>
      </c>
      <c r="H329">
        <v>-0.06</v>
      </c>
      <c r="I329">
        <v>-0.31</v>
      </c>
    </row>
    <row r="330" spans="1:9" x14ac:dyDescent="0.3">
      <c r="A330">
        <v>6889</v>
      </c>
      <c r="D330">
        <v>129</v>
      </c>
      <c r="E330">
        <v>232.2</v>
      </c>
      <c r="F330">
        <v>1</v>
      </c>
      <c r="G330">
        <v>0.27</v>
      </c>
      <c r="H330">
        <v>0.23</v>
      </c>
      <c r="I330">
        <v>-0.35</v>
      </c>
    </row>
    <row r="331" spans="1:9" x14ac:dyDescent="0.3">
      <c r="A331">
        <v>6909</v>
      </c>
      <c r="D331">
        <v>130</v>
      </c>
      <c r="E331">
        <v>234</v>
      </c>
      <c r="F331">
        <v>1</v>
      </c>
      <c r="G331">
        <v>0.06</v>
      </c>
      <c r="H331">
        <v>0.08</v>
      </c>
      <c r="I331">
        <v>-0.33</v>
      </c>
    </row>
    <row r="332" spans="1:9" x14ac:dyDescent="0.3">
      <c r="A332">
        <v>6929</v>
      </c>
      <c r="D332">
        <v>131</v>
      </c>
      <c r="E332">
        <v>235.8</v>
      </c>
      <c r="F332">
        <v>1</v>
      </c>
      <c r="G332">
        <v>-0.19</v>
      </c>
      <c r="H332">
        <v>-0.01</v>
      </c>
      <c r="I332">
        <v>-0.21</v>
      </c>
    </row>
    <row r="333" spans="1:9" x14ac:dyDescent="0.3">
      <c r="A333">
        <v>6949</v>
      </c>
      <c r="D333">
        <v>132</v>
      </c>
      <c r="E333">
        <v>237.6</v>
      </c>
      <c r="F333">
        <v>1</v>
      </c>
      <c r="G333">
        <v>-0.09</v>
      </c>
      <c r="H333">
        <v>-0.17</v>
      </c>
      <c r="I333">
        <v>-0.27</v>
      </c>
    </row>
    <row r="334" spans="1:9" x14ac:dyDescent="0.3">
      <c r="A334">
        <v>6969</v>
      </c>
      <c r="D334">
        <v>133</v>
      </c>
      <c r="E334">
        <v>239.4</v>
      </c>
      <c r="F334">
        <v>1</v>
      </c>
      <c r="G334">
        <v>0.27</v>
      </c>
      <c r="H334">
        <v>0.34</v>
      </c>
      <c r="I334">
        <v>-0.21</v>
      </c>
    </row>
    <row r="335" spans="1:9" x14ac:dyDescent="0.3">
      <c r="A335">
        <v>6989</v>
      </c>
      <c r="D335">
        <v>134</v>
      </c>
      <c r="E335">
        <v>241.2</v>
      </c>
      <c r="F335">
        <v>1</v>
      </c>
      <c r="G335">
        <v>-0.32</v>
      </c>
      <c r="H335">
        <v>-0.06</v>
      </c>
      <c r="I335">
        <v>-0.68</v>
      </c>
    </row>
    <row r="336" spans="1:9" x14ac:dyDescent="0.3">
      <c r="A336">
        <v>7009</v>
      </c>
      <c r="D336">
        <v>135</v>
      </c>
      <c r="E336">
        <v>243</v>
      </c>
      <c r="F336">
        <v>1</v>
      </c>
      <c r="G336">
        <v>-0.37</v>
      </c>
      <c r="H336">
        <v>0</v>
      </c>
      <c r="I336">
        <v>-0.42</v>
      </c>
    </row>
    <row r="337" spans="1:9" x14ac:dyDescent="0.3">
      <c r="A337">
        <v>7029</v>
      </c>
      <c r="D337">
        <v>136</v>
      </c>
      <c r="E337">
        <v>244.8</v>
      </c>
      <c r="F337">
        <v>1</v>
      </c>
      <c r="G337">
        <v>0.16</v>
      </c>
      <c r="H337">
        <v>0.15</v>
      </c>
      <c r="I337">
        <v>-0.28000000000000003</v>
      </c>
    </row>
    <row r="338" spans="1:9" x14ac:dyDescent="0.3">
      <c r="A338">
        <v>7049</v>
      </c>
      <c r="D338">
        <v>137</v>
      </c>
      <c r="E338">
        <v>246.6</v>
      </c>
      <c r="F338">
        <v>1</v>
      </c>
      <c r="G338">
        <v>0.21</v>
      </c>
      <c r="H338">
        <v>0.34</v>
      </c>
      <c r="I338">
        <v>-0.49</v>
      </c>
    </row>
    <row r="339" spans="1:9" x14ac:dyDescent="0.3">
      <c r="A339">
        <v>7069</v>
      </c>
      <c r="D339">
        <v>138</v>
      </c>
      <c r="E339">
        <v>248.4</v>
      </c>
      <c r="F339">
        <v>1</v>
      </c>
      <c r="G339">
        <v>0.17</v>
      </c>
      <c r="H339">
        <v>-0.12</v>
      </c>
      <c r="I339">
        <v>-0.26</v>
      </c>
    </row>
    <row r="340" spans="1:9" x14ac:dyDescent="0.3">
      <c r="A340">
        <v>7089</v>
      </c>
      <c r="D340">
        <v>139</v>
      </c>
      <c r="E340">
        <v>250.2</v>
      </c>
      <c r="F340">
        <v>1</v>
      </c>
      <c r="G340">
        <v>-0.03</v>
      </c>
      <c r="H340">
        <v>0.04</v>
      </c>
      <c r="I340">
        <v>-0.3</v>
      </c>
    </row>
    <row r="341" spans="1:9" x14ac:dyDescent="0.3">
      <c r="A341">
        <v>7109</v>
      </c>
      <c r="D341">
        <v>140</v>
      </c>
      <c r="E341">
        <v>252</v>
      </c>
      <c r="F341">
        <v>1</v>
      </c>
      <c r="G341">
        <v>-0.13</v>
      </c>
      <c r="H341">
        <v>0.28999999999999998</v>
      </c>
      <c r="I341">
        <v>-0.56000000000000005</v>
      </c>
    </row>
    <row r="342" spans="1:9" x14ac:dyDescent="0.3">
      <c r="A342">
        <v>7130</v>
      </c>
      <c r="D342">
        <v>141</v>
      </c>
      <c r="E342">
        <v>253.8</v>
      </c>
      <c r="F342">
        <v>1</v>
      </c>
      <c r="G342">
        <v>-7.0000000000000007E-2</v>
      </c>
      <c r="H342">
        <v>-0.11</v>
      </c>
      <c r="I342">
        <v>-0.65</v>
      </c>
    </row>
    <row r="343" spans="1:9" x14ac:dyDescent="0.3">
      <c r="A343">
        <v>7149</v>
      </c>
      <c r="D343">
        <v>142</v>
      </c>
      <c r="E343">
        <v>255.6</v>
      </c>
      <c r="F343">
        <v>1</v>
      </c>
      <c r="G343">
        <v>0.16</v>
      </c>
      <c r="H343">
        <v>-0.11</v>
      </c>
      <c r="I343">
        <v>-0.36</v>
      </c>
    </row>
    <row r="344" spans="1:9" x14ac:dyDescent="0.3">
      <c r="A344">
        <v>7170</v>
      </c>
      <c r="D344">
        <v>143</v>
      </c>
      <c r="E344">
        <v>257.39999999999998</v>
      </c>
      <c r="F344">
        <v>1</v>
      </c>
      <c r="G344">
        <v>0.08</v>
      </c>
      <c r="H344">
        <v>0.38</v>
      </c>
      <c r="I344">
        <v>-0.77</v>
      </c>
    </row>
    <row r="345" spans="1:9" x14ac:dyDescent="0.3">
      <c r="A345">
        <v>7189</v>
      </c>
      <c r="D345">
        <v>144</v>
      </c>
      <c r="E345">
        <v>259.2</v>
      </c>
      <c r="F345">
        <v>1</v>
      </c>
      <c r="G345">
        <v>-0.12</v>
      </c>
      <c r="H345">
        <v>0.05</v>
      </c>
      <c r="I345">
        <v>-0.73</v>
      </c>
    </row>
    <row r="346" spans="1:9" x14ac:dyDescent="0.3">
      <c r="A346">
        <v>7209</v>
      </c>
      <c r="D346">
        <v>145</v>
      </c>
      <c r="E346">
        <v>261</v>
      </c>
      <c r="F346">
        <v>1</v>
      </c>
      <c r="G346">
        <v>-0.21</v>
      </c>
      <c r="H346">
        <v>-0.37</v>
      </c>
      <c r="I346">
        <v>-0.78</v>
      </c>
    </row>
    <row r="347" spans="1:9" x14ac:dyDescent="0.3">
      <c r="A347">
        <v>7229</v>
      </c>
      <c r="D347">
        <v>146</v>
      </c>
      <c r="E347">
        <v>262.8</v>
      </c>
      <c r="F347">
        <v>1</v>
      </c>
      <c r="G347">
        <v>0.47</v>
      </c>
      <c r="H347">
        <v>-0.05</v>
      </c>
      <c r="I347">
        <v>-0.26</v>
      </c>
    </row>
    <row r="348" spans="1:9" x14ac:dyDescent="0.3">
      <c r="A348">
        <v>7249</v>
      </c>
      <c r="D348">
        <v>147</v>
      </c>
      <c r="E348">
        <v>264.60000000000002</v>
      </c>
      <c r="F348">
        <v>1</v>
      </c>
      <c r="G348">
        <v>0.18</v>
      </c>
      <c r="H348">
        <v>0.12</v>
      </c>
      <c r="I348">
        <v>-0.68</v>
      </c>
    </row>
    <row r="349" spans="1:9" x14ac:dyDescent="0.3">
      <c r="A349">
        <v>7269</v>
      </c>
      <c r="D349">
        <v>148</v>
      </c>
      <c r="E349">
        <v>266.39999999999998</v>
      </c>
      <c r="F349">
        <v>1</v>
      </c>
      <c r="G349">
        <v>-0.31</v>
      </c>
      <c r="H349">
        <v>-0.1</v>
      </c>
      <c r="I349">
        <v>-0.69</v>
      </c>
    </row>
    <row r="350" spans="1:9" x14ac:dyDescent="0.3">
      <c r="A350">
        <v>7289</v>
      </c>
      <c r="D350">
        <v>149</v>
      </c>
      <c r="E350">
        <v>268.2</v>
      </c>
      <c r="F350">
        <v>1</v>
      </c>
      <c r="G350">
        <v>0.04</v>
      </c>
      <c r="H350">
        <v>-0.14000000000000001</v>
      </c>
      <c r="I350">
        <v>-0.63</v>
      </c>
    </row>
    <row r="351" spans="1:9" x14ac:dyDescent="0.3">
      <c r="A351">
        <v>7309</v>
      </c>
      <c r="D351">
        <v>150</v>
      </c>
      <c r="E351">
        <v>270</v>
      </c>
      <c r="F351">
        <v>1</v>
      </c>
      <c r="G351">
        <v>0.34</v>
      </c>
      <c r="H351">
        <v>0</v>
      </c>
      <c r="I351">
        <v>-0.45</v>
      </c>
    </row>
    <row r="352" spans="1:9" x14ac:dyDescent="0.3">
      <c r="A352">
        <v>7329</v>
      </c>
      <c r="D352">
        <v>151</v>
      </c>
      <c r="E352">
        <v>271.8</v>
      </c>
      <c r="F352">
        <v>1</v>
      </c>
      <c r="G352">
        <v>0.05</v>
      </c>
      <c r="H352">
        <v>0.22</v>
      </c>
      <c r="I352">
        <v>-0.56999999999999995</v>
      </c>
    </row>
    <row r="353" spans="1:9" x14ac:dyDescent="0.3">
      <c r="A353">
        <v>7349</v>
      </c>
      <c r="D353">
        <v>152</v>
      </c>
      <c r="E353">
        <v>273.60000000000002</v>
      </c>
      <c r="F353">
        <v>1</v>
      </c>
      <c r="G353">
        <v>-0.22</v>
      </c>
      <c r="H353">
        <v>-0.04</v>
      </c>
      <c r="I353">
        <v>-0.63</v>
      </c>
    </row>
    <row r="354" spans="1:9" x14ac:dyDescent="0.3">
      <c r="A354">
        <v>7369</v>
      </c>
      <c r="D354">
        <v>153</v>
      </c>
      <c r="E354">
        <v>275.39999999999998</v>
      </c>
      <c r="F354">
        <v>1</v>
      </c>
      <c r="G354">
        <v>-0.16</v>
      </c>
      <c r="H354">
        <v>-0.25</v>
      </c>
      <c r="I354">
        <v>-0.72</v>
      </c>
    </row>
    <row r="355" spans="1:9" x14ac:dyDescent="0.3">
      <c r="A355">
        <v>7389</v>
      </c>
      <c r="D355">
        <v>154</v>
      </c>
      <c r="E355">
        <v>277.2</v>
      </c>
      <c r="F355">
        <v>1</v>
      </c>
      <c r="G355">
        <v>0.52</v>
      </c>
      <c r="H355">
        <v>0.19</v>
      </c>
      <c r="I355">
        <v>-0.52</v>
      </c>
    </row>
    <row r="356" spans="1:9" x14ac:dyDescent="0.3">
      <c r="A356">
        <v>7409</v>
      </c>
      <c r="D356">
        <v>155</v>
      </c>
      <c r="E356">
        <v>279</v>
      </c>
      <c r="F356">
        <v>1</v>
      </c>
      <c r="G356">
        <v>0.1</v>
      </c>
      <c r="H356">
        <v>0.17</v>
      </c>
      <c r="I356">
        <v>-0.51</v>
      </c>
    </row>
    <row r="357" spans="1:9" x14ac:dyDescent="0.3">
      <c r="A357">
        <v>7430</v>
      </c>
      <c r="D357">
        <v>156</v>
      </c>
      <c r="E357">
        <v>280.8</v>
      </c>
      <c r="F357">
        <v>1</v>
      </c>
      <c r="G357">
        <v>-0.12</v>
      </c>
      <c r="H357">
        <v>-0.33</v>
      </c>
      <c r="I357">
        <v>-0.5</v>
      </c>
    </row>
    <row r="358" spans="1:9" x14ac:dyDescent="0.3">
      <c r="A358">
        <v>7449</v>
      </c>
      <c r="D358">
        <v>157</v>
      </c>
      <c r="E358">
        <v>282.60000000000002</v>
      </c>
      <c r="F358">
        <v>1</v>
      </c>
      <c r="G358">
        <v>-7.0000000000000007E-2</v>
      </c>
      <c r="H358">
        <v>0.05</v>
      </c>
      <c r="I358">
        <v>-0.69</v>
      </c>
    </row>
    <row r="359" spans="1:9" x14ac:dyDescent="0.3">
      <c r="A359">
        <v>7470</v>
      </c>
      <c r="D359">
        <v>158</v>
      </c>
      <c r="E359">
        <v>284.39999999999998</v>
      </c>
      <c r="F359">
        <v>1</v>
      </c>
      <c r="G359">
        <v>0.04</v>
      </c>
      <c r="H359">
        <v>0.18</v>
      </c>
      <c r="I359">
        <v>-0.49</v>
      </c>
    </row>
    <row r="360" spans="1:9" x14ac:dyDescent="0.3">
      <c r="A360">
        <v>7489</v>
      </c>
      <c r="D360">
        <v>159</v>
      </c>
      <c r="E360">
        <v>286.2</v>
      </c>
      <c r="F360">
        <v>1</v>
      </c>
      <c r="G360">
        <v>-0.04</v>
      </c>
      <c r="H360">
        <v>-0.08</v>
      </c>
      <c r="I360">
        <v>-0.78</v>
      </c>
    </row>
    <row r="361" spans="1:9" x14ac:dyDescent="0.3">
      <c r="A361">
        <v>7510</v>
      </c>
      <c r="D361">
        <v>160</v>
      </c>
      <c r="E361">
        <v>288</v>
      </c>
      <c r="F361">
        <v>1</v>
      </c>
      <c r="G361">
        <v>-0.04</v>
      </c>
      <c r="H361">
        <v>-0.19</v>
      </c>
      <c r="I361">
        <v>-0.73</v>
      </c>
    </row>
    <row r="362" spans="1:9" x14ac:dyDescent="0.3">
      <c r="A362">
        <v>7529</v>
      </c>
      <c r="D362">
        <v>161</v>
      </c>
      <c r="E362">
        <v>289.8</v>
      </c>
      <c r="F362">
        <v>1</v>
      </c>
      <c r="G362">
        <v>0.27</v>
      </c>
      <c r="H362">
        <v>0.04</v>
      </c>
      <c r="I362">
        <v>-0.59</v>
      </c>
    </row>
    <row r="363" spans="1:9" x14ac:dyDescent="0.3">
      <c r="A363">
        <v>7549</v>
      </c>
      <c r="D363">
        <v>162</v>
      </c>
      <c r="E363">
        <v>291.60000000000002</v>
      </c>
      <c r="F363">
        <v>1</v>
      </c>
      <c r="G363">
        <v>0.13</v>
      </c>
      <c r="H363">
        <v>0.22</v>
      </c>
      <c r="I363">
        <v>-0.54</v>
      </c>
    </row>
    <row r="364" spans="1:9" x14ac:dyDescent="0.3">
      <c r="A364">
        <v>7569</v>
      </c>
      <c r="D364">
        <v>163</v>
      </c>
      <c r="E364">
        <v>293.39999999999998</v>
      </c>
      <c r="F364">
        <v>1</v>
      </c>
      <c r="G364">
        <v>-0.12</v>
      </c>
      <c r="H364">
        <v>-0.01</v>
      </c>
      <c r="I364">
        <v>-0.68</v>
      </c>
    </row>
    <row r="365" spans="1:9" x14ac:dyDescent="0.3">
      <c r="A365">
        <v>7589</v>
      </c>
      <c r="D365">
        <v>164</v>
      </c>
      <c r="E365">
        <v>295.2</v>
      </c>
      <c r="F365">
        <v>1</v>
      </c>
      <c r="G365">
        <v>-0.11</v>
      </c>
      <c r="H365">
        <v>0.01</v>
      </c>
      <c r="I365">
        <v>-0.82</v>
      </c>
    </row>
    <row r="366" spans="1:9" x14ac:dyDescent="0.3">
      <c r="A366">
        <v>7609</v>
      </c>
      <c r="D366">
        <v>165</v>
      </c>
      <c r="E366">
        <v>297</v>
      </c>
      <c r="F366">
        <v>1</v>
      </c>
      <c r="G366">
        <v>0.12</v>
      </c>
      <c r="H366">
        <v>0.24</v>
      </c>
      <c r="I366">
        <v>-0.69</v>
      </c>
    </row>
    <row r="367" spans="1:9" x14ac:dyDescent="0.3">
      <c r="A367">
        <v>7629</v>
      </c>
      <c r="D367">
        <v>166</v>
      </c>
      <c r="E367">
        <v>298.8</v>
      </c>
      <c r="F367">
        <v>1</v>
      </c>
      <c r="G367">
        <v>-0.01</v>
      </c>
      <c r="H367">
        <v>0.17</v>
      </c>
      <c r="I367">
        <v>-0.7</v>
      </c>
    </row>
    <row r="368" spans="1:9" x14ac:dyDescent="0.3">
      <c r="A368">
        <v>7649</v>
      </c>
      <c r="D368">
        <v>167</v>
      </c>
      <c r="E368">
        <v>300.60000000000002</v>
      </c>
      <c r="F368">
        <v>1</v>
      </c>
      <c r="G368">
        <v>-0.06</v>
      </c>
      <c r="H368">
        <v>0.09</v>
      </c>
      <c r="I368">
        <v>-0.98</v>
      </c>
    </row>
    <row r="369" spans="1:9" x14ac:dyDescent="0.3">
      <c r="A369">
        <v>7669</v>
      </c>
      <c r="D369">
        <v>168</v>
      </c>
      <c r="E369">
        <v>302.39999999999998</v>
      </c>
      <c r="F369">
        <v>1</v>
      </c>
      <c r="G369">
        <v>0.09</v>
      </c>
      <c r="H369">
        <v>0.18</v>
      </c>
      <c r="I369">
        <v>-0.64</v>
      </c>
    </row>
    <row r="370" spans="1:9" x14ac:dyDescent="0.3">
      <c r="A370">
        <v>7689</v>
      </c>
      <c r="D370">
        <v>169</v>
      </c>
      <c r="E370">
        <v>304.2</v>
      </c>
      <c r="F370">
        <v>1</v>
      </c>
      <c r="G370">
        <v>0.01</v>
      </c>
      <c r="H370">
        <v>0.17</v>
      </c>
      <c r="I370">
        <v>-0.76</v>
      </c>
    </row>
    <row r="371" spans="1:9" x14ac:dyDescent="0.3">
      <c r="A371">
        <v>7709</v>
      </c>
      <c r="D371">
        <v>170</v>
      </c>
      <c r="E371">
        <v>306</v>
      </c>
      <c r="F371">
        <v>1</v>
      </c>
      <c r="G371">
        <v>-0.15</v>
      </c>
      <c r="H371">
        <v>0</v>
      </c>
      <c r="I371">
        <v>-0.83</v>
      </c>
    </row>
    <row r="372" spans="1:9" x14ac:dyDescent="0.3">
      <c r="A372">
        <v>7730</v>
      </c>
      <c r="D372">
        <v>171</v>
      </c>
      <c r="E372">
        <v>307.8</v>
      </c>
      <c r="F372">
        <v>1</v>
      </c>
      <c r="G372">
        <v>-0.03</v>
      </c>
      <c r="H372">
        <v>0.21</v>
      </c>
      <c r="I372">
        <v>-0.69</v>
      </c>
    </row>
    <row r="373" spans="1:9" x14ac:dyDescent="0.3">
      <c r="A373">
        <v>7749</v>
      </c>
      <c r="D373">
        <v>172</v>
      </c>
      <c r="E373">
        <v>309.60000000000002</v>
      </c>
      <c r="F373">
        <v>1</v>
      </c>
      <c r="G373">
        <v>0.17</v>
      </c>
      <c r="H373">
        <v>0.37</v>
      </c>
      <c r="I373">
        <v>-0.73</v>
      </c>
    </row>
    <row r="374" spans="1:9" x14ac:dyDescent="0.3">
      <c r="A374">
        <v>7770</v>
      </c>
      <c r="D374">
        <v>173</v>
      </c>
      <c r="E374">
        <v>311.39999999999998</v>
      </c>
      <c r="F374">
        <v>1</v>
      </c>
      <c r="G374">
        <v>-0.19</v>
      </c>
      <c r="H374">
        <v>0.42</v>
      </c>
      <c r="I374">
        <v>-0.76</v>
      </c>
    </row>
    <row r="375" spans="1:9" x14ac:dyDescent="0.3">
      <c r="A375">
        <v>7789</v>
      </c>
      <c r="D375">
        <v>174</v>
      </c>
      <c r="E375">
        <v>313.2</v>
      </c>
      <c r="F375">
        <v>1</v>
      </c>
      <c r="G375">
        <v>-0.13</v>
      </c>
      <c r="H375">
        <v>0.1</v>
      </c>
      <c r="I375">
        <v>-0.92</v>
      </c>
    </row>
    <row r="376" spans="1:9" x14ac:dyDescent="0.3">
      <c r="A376">
        <v>7810</v>
      </c>
      <c r="D376">
        <v>175</v>
      </c>
      <c r="E376">
        <v>315</v>
      </c>
      <c r="F376">
        <v>1</v>
      </c>
      <c r="G376">
        <v>-0.14000000000000001</v>
      </c>
      <c r="H376">
        <v>0.17</v>
      </c>
      <c r="I376">
        <v>-0.48</v>
      </c>
    </row>
    <row r="377" spans="1:9" x14ac:dyDescent="0.3">
      <c r="A377">
        <v>7829</v>
      </c>
      <c r="D377">
        <v>176</v>
      </c>
      <c r="E377">
        <v>316.8</v>
      </c>
      <c r="F377">
        <v>1</v>
      </c>
      <c r="G377">
        <v>-0.17</v>
      </c>
      <c r="H377">
        <v>0.67</v>
      </c>
      <c r="I377">
        <v>-1.45</v>
      </c>
    </row>
    <row r="378" spans="1:9" x14ac:dyDescent="0.3">
      <c r="A378">
        <v>7849</v>
      </c>
      <c r="D378">
        <v>177</v>
      </c>
      <c r="E378">
        <v>318.60000000000002</v>
      </c>
      <c r="F378">
        <v>1</v>
      </c>
      <c r="G378">
        <v>-0.06</v>
      </c>
      <c r="H378">
        <v>0.22</v>
      </c>
      <c r="I378">
        <v>-0.83</v>
      </c>
    </row>
    <row r="379" spans="1:9" x14ac:dyDescent="0.3">
      <c r="A379">
        <v>7869</v>
      </c>
      <c r="D379">
        <v>178</v>
      </c>
      <c r="E379">
        <v>320.39999999999998</v>
      </c>
      <c r="F379">
        <v>1</v>
      </c>
      <c r="G379">
        <v>-0.13</v>
      </c>
      <c r="H379">
        <v>0.16</v>
      </c>
      <c r="I379">
        <v>-0.33</v>
      </c>
    </row>
    <row r="380" spans="1:9" x14ac:dyDescent="0.3">
      <c r="A380">
        <v>7889</v>
      </c>
      <c r="D380">
        <v>179</v>
      </c>
      <c r="E380">
        <v>322.2</v>
      </c>
      <c r="F380">
        <v>1</v>
      </c>
      <c r="G380">
        <v>-0.11</v>
      </c>
      <c r="H380">
        <v>0.85</v>
      </c>
      <c r="I380">
        <v>-1.31</v>
      </c>
    </row>
    <row r="381" spans="1:9" x14ac:dyDescent="0.3">
      <c r="A381">
        <v>7909</v>
      </c>
      <c r="D381">
        <v>180</v>
      </c>
      <c r="E381">
        <v>324</v>
      </c>
      <c r="F381">
        <v>1</v>
      </c>
      <c r="G381">
        <v>-0.43</v>
      </c>
      <c r="H381">
        <v>-0.43</v>
      </c>
      <c r="I381">
        <v>-0.86</v>
      </c>
    </row>
    <row r="382" spans="1:9" x14ac:dyDescent="0.3">
      <c r="A382">
        <v>7929</v>
      </c>
      <c r="D382">
        <v>181</v>
      </c>
      <c r="E382">
        <v>325.8</v>
      </c>
      <c r="F382">
        <v>1</v>
      </c>
      <c r="G382">
        <v>-7.0000000000000007E-2</v>
      </c>
      <c r="H382">
        <v>0.34</v>
      </c>
      <c r="I382">
        <v>-0.57999999999999996</v>
      </c>
    </row>
    <row r="383" spans="1:9" x14ac:dyDescent="0.3">
      <c r="A383">
        <v>7949</v>
      </c>
      <c r="D383">
        <v>182</v>
      </c>
      <c r="E383">
        <v>327.60000000000002</v>
      </c>
      <c r="F383">
        <v>1</v>
      </c>
      <c r="G383">
        <v>-0.11</v>
      </c>
      <c r="H383">
        <v>0.83</v>
      </c>
      <c r="I383">
        <v>-0.87</v>
      </c>
    </row>
    <row r="384" spans="1:9" x14ac:dyDescent="0.3">
      <c r="A384">
        <v>7969</v>
      </c>
      <c r="D384">
        <v>183</v>
      </c>
      <c r="E384">
        <v>329.4</v>
      </c>
      <c r="F384">
        <v>1</v>
      </c>
      <c r="G384">
        <v>-0.28000000000000003</v>
      </c>
      <c r="H384">
        <v>-0.4</v>
      </c>
      <c r="I384">
        <v>-0.31</v>
      </c>
    </row>
    <row r="385" spans="1:9" x14ac:dyDescent="0.3">
      <c r="A385">
        <v>7989</v>
      </c>
      <c r="D385">
        <v>184</v>
      </c>
      <c r="E385">
        <v>331.2</v>
      </c>
      <c r="F385">
        <v>1</v>
      </c>
      <c r="G385">
        <v>0.16</v>
      </c>
      <c r="H385">
        <v>0.78</v>
      </c>
      <c r="I385">
        <v>-0.47</v>
      </c>
    </row>
    <row r="386" spans="1:9" x14ac:dyDescent="0.3">
      <c r="A386">
        <v>8009</v>
      </c>
      <c r="D386">
        <v>185</v>
      </c>
      <c r="E386">
        <v>333</v>
      </c>
      <c r="F386">
        <v>1</v>
      </c>
      <c r="G386">
        <v>-0.16</v>
      </c>
      <c r="H386">
        <v>0.43</v>
      </c>
      <c r="I386">
        <v>-0.05</v>
      </c>
    </row>
    <row r="387" spans="1:9" x14ac:dyDescent="0.3">
      <c r="A387">
        <v>8029</v>
      </c>
      <c r="D387">
        <v>186</v>
      </c>
      <c r="E387">
        <v>334.8</v>
      </c>
      <c r="F387">
        <v>1</v>
      </c>
      <c r="G387">
        <v>-0.63</v>
      </c>
      <c r="H387">
        <v>-0.08</v>
      </c>
      <c r="I387">
        <v>-0.83</v>
      </c>
    </row>
    <row r="388" spans="1:9" x14ac:dyDescent="0.3">
      <c r="A388">
        <v>8049</v>
      </c>
      <c r="D388">
        <v>187</v>
      </c>
      <c r="E388">
        <v>336.6</v>
      </c>
      <c r="F388">
        <v>1</v>
      </c>
      <c r="G388">
        <v>0.04</v>
      </c>
      <c r="H388">
        <v>0.84</v>
      </c>
      <c r="I388">
        <v>-0.7</v>
      </c>
    </row>
    <row r="389" spans="1:9" x14ac:dyDescent="0.3">
      <c r="A389">
        <v>8070</v>
      </c>
      <c r="D389">
        <v>188</v>
      </c>
      <c r="E389">
        <v>338.4</v>
      </c>
      <c r="F389">
        <v>1</v>
      </c>
      <c r="G389">
        <v>-0.19</v>
      </c>
      <c r="H389">
        <v>0.37</v>
      </c>
      <c r="I389">
        <v>-0.28999999999999998</v>
      </c>
    </row>
    <row r="390" spans="1:9" x14ac:dyDescent="0.3">
      <c r="A390">
        <v>8089</v>
      </c>
      <c r="D390">
        <v>189</v>
      </c>
      <c r="E390">
        <v>340.2</v>
      </c>
      <c r="F390">
        <v>1</v>
      </c>
      <c r="G390">
        <v>-0.09</v>
      </c>
      <c r="H390">
        <v>0.34</v>
      </c>
      <c r="I390">
        <v>-0.12</v>
      </c>
    </row>
    <row r="391" spans="1:9" x14ac:dyDescent="0.3">
      <c r="A391">
        <v>8110</v>
      </c>
      <c r="D391">
        <v>190</v>
      </c>
      <c r="E391">
        <v>342</v>
      </c>
      <c r="F391">
        <v>1</v>
      </c>
      <c r="G391">
        <v>-0.14000000000000001</v>
      </c>
      <c r="H391">
        <v>0.23</v>
      </c>
      <c r="I391">
        <v>0.01</v>
      </c>
    </row>
    <row r="392" spans="1:9" x14ac:dyDescent="0.3">
      <c r="A392">
        <v>8129</v>
      </c>
      <c r="D392">
        <v>191</v>
      </c>
      <c r="E392">
        <v>343.8</v>
      </c>
      <c r="F392">
        <v>1</v>
      </c>
      <c r="G392">
        <v>-0.4</v>
      </c>
      <c r="H392">
        <v>0.06</v>
      </c>
      <c r="I392">
        <v>-0.32</v>
      </c>
    </row>
    <row r="393" spans="1:9" x14ac:dyDescent="0.3">
      <c r="A393">
        <v>8150</v>
      </c>
      <c r="D393">
        <v>192</v>
      </c>
      <c r="E393">
        <v>345.6</v>
      </c>
      <c r="F393">
        <v>1</v>
      </c>
      <c r="G393">
        <v>0.02</v>
      </c>
      <c r="H393">
        <v>0.38</v>
      </c>
      <c r="I393">
        <v>0.1</v>
      </c>
    </row>
    <row r="394" spans="1:9" x14ac:dyDescent="0.3">
      <c r="A394">
        <v>8169</v>
      </c>
      <c r="D394">
        <v>193</v>
      </c>
      <c r="E394">
        <v>347.4</v>
      </c>
      <c r="F394">
        <v>1</v>
      </c>
      <c r="G394">
        <v>-0.03</v>
      </c>
      <c r="H394">
        <v>0.46</v>
      </c>
      <c r="I394">
        <v>0.03</v>
      </c>
    </row>
    <row r="395" spans="1:9" x14ac:dyDescent="0.3">
      <c r="A395">
        <v>8189</v>
      </c>
      <c r="D395">
        <v>194</v>
      </c>
      <c r="E395">
        <v>349.2</v>
      </c>
      <c r="F395">
        <v>1</v>
      </c>
      <c r="G395">
        <v>-0.34</v>
      </c>
      <c r="H395">
        <v>0.12</v>
      </c>
      <c r="I395">
        <v>-0.36</v>
      </c>
    </row>
    <row r="396" spans="1:9" x14ac:dyDescent="0.3">
      <c r="A396">
        <v>8209</v>
      </c>
      <c r="D396">
        <v>195</v>
      </c>
      <c r="E396">
        <v>351</v>
      </c>
      <c r="F396">
        <v>1</v>
      </c>
      <c r="G396">
        <v>0.08</v>
      </c>
      <c r="H396">
        <v>0.23</v>
      </c>
      <c r="I396">
        <v>-0.03</v>
      </c>
    </row>
    <row r="397" spans="1:9" x14ac:dyDescent="0.3">
      <c r="A397">
        <v>8229</v>
      </c>
      <c r="D397">
        <v>196</v>
      </c>
      <c r="E397">
        <v>352.8</v>
      </c>
      <c r="F397">
        <v>1</v>
      </c>
      <c r="G397">
        <v>0.06</v>
      </c>
      <c r="H397">
        <v>0.71</v>
      </c>
      <c r="I397">
        <v>-0.24</v>
      </c>
    </row>
    <row r="398" spans="1:9" x14ac:dyDescent="0.3">
      <c r="A398">
        <v>8249</v>
      </c>
      <c r="D398">
        <v>197</v>
      </c>
      <c r="E398">
        <v>354.6</v>
      </c>
      <c r="F398">
        <v>1</v>
      </c>
      <c r="G398">
        <v>-0.37</v>
      </c>
      <c r="H398">
        <v>0.19</v>
      </c>
      <c r="I398">
        <v>-0.22</v>
      </c>
    </row>
    <row r="399" spans="1:9" x14ac:dyDescent="0.3">
      <c r="A399">
        <v>8269</v>
      </c>
      <c r="D399">
        <v>198</v>
      </c>
      <c r="E399">
        <v>356.4</v>
      </c>
      <c r="F399">
        <v>1</v>
      </c>
      <c r="G399">
        <v>-0.51</v>
      </c>
      <c r="H399">
        <v>-0.38</v>
      </c>
      <c r="I399">
        <v>-0.52</v>
      </c>
    </row>
    <row r="400" spans="1:9" x14ac:dyDescent="0.3">
      <c r="A400">
        <v>8289</v>
      </c>
      <c r="D400">
        <v>199</v>
      </c>
      <c r="E400">
        <v>358.2</v>
      </c>
      <c r="F400">
        <v>1</v>
      </c>
      <c r="G400">
        <v>0.56999999999999995</v>
      </c>
      <c r="H400">
        <v>0.83</v>
      </c>
      <c r="I400">
        <v>0.21</v>
      </c>
    </row>
    <row r="401" spans="1:9" x14ac:dyDescent="0.3">
      <c r="A401">
        <v>8309</v>
      </c>
      <c r="D401">
        <v>0</v>
      </c>
      <c r="E401">
        <v>360</v>
      </c>
      <c r="F401">
        <v>1</v>
      </c>
      <c r="G401">
        <v>-0.22</v>
      </c>
      <c r="H401">
        <v>0.09</v>
      </c>
      <c r="I401">
        <v>-0.45</v>
      </c>
    </row>
    <row r="402" spans="1:9" x14ac:dyDescent="0.3">
      <c r="A402">
        <v>8329</v>
      </c>
      <c r="D402">
        <v>1</v>
      </c>
      <c r="E402">
        <v>1.8</v>
      </c>
      <c r="F402">
        <v>1</v>
      </c>
      <c r="G402">
        <v>-0.67</v>
      </c>
      <c r="H402">
        <v>-0.34</v>
      </c>
      <c r="I402">
        <v>-0.17</v>
      </c>
    </row>
    <row r="403" spans="1:9" x14ac:dyDescent="0.3">
      <c r="A403">
        <v>8349</v>
      </c>
      <c r="D403">
        <v>2</v>
      </c>
      <c r="E403">
        <v>3.6</v>
      </c>
      <c r="F403">
        <v>1</v>
      </c>
      <c r="G403">
        <v>0.51</v>
      </c>
      <c r="H403">
        <v>1.4</v>
      </c>
      <c r="I403">
        <v>0.28999999999999998</v>
      </c>
    </row>
    <row r="404" spans="1:9" x14ac:dyDescent="0.3">
      <c r="A404">
        <v>8370</v>
      </c>
      <c r="D404">
        <v>3</v>
      </c>
      <c r="E404">
        <v>5.4</v>
      </c>
      <c r="F404">
        <v>1</v>
      </c>
      <c r="G404">
        <v>-0.11</v>
      </c>
      <c r="H404">
        <v>0.21</v>
      </c>
      <c r="I404">
        <v>0.12</v>
      </c>
    </row>
    <row r="405" spans="1:9" x14ac:dyDescent="0.3">
      <c r="A405">
        <v>8389</v>
      </c>
      <c r="D405">
        <v>4</v>
      </c>
      <c r="E405">
        <v>7.2</v>
      </c>
      <c r="F405">
        <v>1</v>
      </c>
      <c r="G405">
        <v>-0.47</v>
      </c>
      <c r="H405">
        <v>0.28000000000000003</v>
      </c>
      <c r="I405">
        <v>7.0000000000000007E-2</v>
      </c>
    </row>
    <row r="406" spans="1:9" x14ac:dyDescent="0.3">
      <c r="A406">
        <v>8410</v>
      </c>
      <c r="D406">
        <v>5</v>
      </c>
      <c r="E406">
        <v>9</v>
      </c>
      <c r="F406">
        <v>1</v>
      </c>
      <c r="G406">
        <v>0.64</v>
      </c>
      <c r="H406">
        <v>1.1299999999999999</v>
      </c>
      <c r="I406">
        <v>0.92</v>
      </c>
    </row>
    <row r="407" spans="1:9" x14ac:dyDescent="0.3">
      <c r="A407">
        <v>8429</v>
      </c>
      <c r="D407">
        <v>6</v>
      </c>
      <c r="E407">
        <v>10.8</v>
      </c>
      <c r="F407">
        <v>1</v>
      </c>
      <c r="G407">
        <v>-0.38</v>
      </c>
      <c r="H407">
        <v>0.28000000000000003</v>
      </c>
      <c r="I407">
        <v>0.38</v>
      </c>
    </row>
    <row r="408" spans="1:9" x14ac:dyDescent="0.3">
      <c r="A408">
        <v>8450</v>
      </c>
      <c r="D408">
        <v>7</v>
      </c>
      <c r="E408">
        <v>12.6</v>
      </c>
      <c r="F408">
        <v>1</v>
      </c>
      <c r="G408">
        <v>-0.22</v>
      </c>
      <c r="H408">
        <v>-0.05</v>
      </c>
      <c r="I408">
        <v>0.34</v>
      </c>
    </row>
    <row r="409" spans="1:9" x14ac:dyDescent="0.3">
      <c r="A409">
        <v>8469</v>
      </c>
      <c r="D409">
        <v>8</v>
      </c>
      <c r="E409">
        <v>14.4</v>
      </c>
      <c r="F409">
        <v>1</v>
      </c>
      <c r="G409">
        <v>-0.53</v>
      </c>
      <c r="H409">
        <v>-0.38</v>
      </c>
      <c r="I409">
        <v>-0.31</v>
      </c>
    </row>
    <row r="410" spans="1:9" x14ac:dyDescent="0.3">
      <c r="A410">
        <v>8489</v>
      </c>
      <c r="D410">
        <v>9</v>
      </c>
      <c r="E410">
        <v>16.2</v>
      </c>
      <c r="F410">
        <v>1</v>
      </c>
      <c r="G410">
        <v>1.2</v>
      </c>
      <c r="H410">
        <v>1.8</v>
      </c>
      <c r="I410">
        <v>1.06</v>
      </c>
    </row>
    <row r="411" spans="1:9" x14ac:dyDescent="0.3">
      <c r="A411">
        <v>8509</v>
      </c>
      <c r="D411">
        <v>10</v>
      </c>
      <c r="E411">
        <v>18</v>
      </c>
      <c r="F411">
        <v>1</v>
      </c>
      <c r="G411">
        <v>-0.8</v>
      </c>
      <c r="H411">
        <v>0.47</v>
      </c>
      <c r="I411">
        <v>-1.36</v>
      </c>
    </row>
    <row r="412" spans="1:9" x14ac:dyDescent="0.3">
      <c r="A412">
        <v>8529</v>
      </c>
      <c r="D412">
        <v>11</v>
      </c>
      <c r="E412">
        <v>19.8</v>
      </c>
      <c r="F412">
        <v>1</v>
      </c>
      <c r="G412">
        <v>0.37</v>
      </c>
      <c r="H412">
        <v>0.42</v>
      </c>
      <c r="I412">
        <v>0.78</v>
      </c>
    </row>
    <row r="413" spans="1:9" x14ac:dyDescent="0.3">
      <c r="A413">
        <v>8549</v>
      </c>
      <c r="D413">
        <v>12</v>
      </c>
      <c r="E413">
        <v>21.6</v>
      </c>
      <c r="F413">
        <v>1</v>
      </c>
      <c r="G413">
        <v>-1.39</v>
      </c>
      <c r="H413">
        <v>-0.03</v>
      </c>
      <c r="I413">
        <v>-0.39</v>
      </c>
    </row>
    <row r="414" spans="1:9" x14ac:dyDescent="0.3">
      <c r="A414">
        <v>8569</v>
      </c>
      <c r="D414">
        <v>13</v>
      </c>
      <c r="E414">
        <v>23.4</v>
      </c>
      <c r="F414">
        <v>1</v>
      </c>
      <c r="G414">
        <v>0</v>
      </c>
      <c r="H414">
        <v>0</v>
      </c>
      <c r="I414">
        <v>0</v>
      </c>
    </row>
    <row r="415" spans="1:9" x14ac:dyDescent="0.3">
      <c r="A415">
        <v>8589</v>
      </c>
      <c r="D415">
        <v>14</v>
      </c>
      <c r="E415">
        <v>25.2</v>
      </c>
      <c r="F415">
        <v>1</v>
      </c>
      <c r="G415">
        <v>0.35</v>
      </c>
      <c r="H415">
        <v>1.08</v>
      </c>
      <c r="I415">
        <v>0.21</v>
      </c>
    </row>
    <row r="416" spans="1:9" x14ac:dyDescent="0.3">
      <c r="A416">
        <v>8609</v>
      </c>
      <c r="D416">
        <v>15</v>
      </c>
      <c r="E416">
        <v>27</v>
      </c>
      <c r="F416">
        <v>1</v>
      </c>
      <c r="G416">
        <v>-0.35</v>
      </c>
      <c r="H416">
        <v>-0.7</v>
      </c>
      <c r="I416">
        <v>0.28000000000000003</v>
      </c>
    </row>
    <row r="417" spans="1:9" x14ac:dyDescent="0.3">
      <c r="A417">
        <v>8629</v>
      </c>
      <c r="D417">
        <v>16</v>
      </c>
      <c r="E417">
        <v>28.8</v>
      </c>
      <c r="F417">
        <v>1</v>
      </c>
      <c r="G417">
        <v>-7.0000000000000007E-2</v>
      </c>
      <c r="H417">
        <v>-0.27</v>
      </c>
      <c r="I417">
        <v>0.61</v>
      </c>
    </row>
    <row r="418" spans="1:9" x14ac:dyDescent="0.3">
      <c r="A418">
        <v>8649</v>
      </c>
      <c r="D418">
        <v>17</v>
      </c>
      <c r="E418">
        <v>30.6</v>
      </c>
      <c r="F418">
        <v>1</v>
      </c>
      <c r="G418">
        <v>-0.28999999999999998</v>
      </c>
      <c r="H418">
        <v>0.71</v>
      </c>
      <c r="I418">
        <v>0.63</v>
      </c>
    </row>
    <row r="419" spans="1:9" x14ac:dyDescent="0.3">
      <c r="A419">
        <v>8670</v>
      </c>
      <c r="D419">
        <v>18</v>
      </c>
      <c r="E419">
        <v>32.4</v>
      </c>
      <c r="F419">
        <v>1</v>
      </c>
      <c r="G419">
        <v>0.13</v>
      </c>
      <c r="H419">
        <v>1.03</v>
      </c>
      <c r="I419">
        <v>0.77</v>
      </c>
    </row>
    <row r="420" spans="1:9" x14ac:dyDescent="0.3">
      <c r="A420">
        <v>8689</v>
      </c>
      <c r="D420">
        <v>19</v>
      </c>
      <c r="E420">
        <v>34.200000000000003</v>
      </c>
      <c r="F420">
        <v>1</v>
      </c>
      <c r="G420">
        <v>-0.19</v>
      </c>
      <c r="H420">
        <v>0.33</v>
      </c>
      <c r="I420">
        <v>0.48</v>
      </c>
    </row>
    <row r="421" spans="1:9" x14ac:dyDescent="0.3">
      <c r="A421">
        <v>8710</v>
      </c>
      <c r="D421">
        <v>20</v>
      </c>
      <c r="E421">
        <v>36</v>
      </c>
      <c r="F421">
        <v>1</v>
      </c>
      <c r="G421">
        <v>-0.08</v>
      </c>
      <c r="H421">
        <v>-0.36</v>
      </c>
      <c r="I421">
        <v>1.57</v>
      </c>
    </row>
    <row r="422" spans="1:9" x14ac:dyDescent="0.3">
      <c r="A422">
        <v>8729</v>
      </c>
      <c r="D422">
        <v>21</v>
      </c>
      <c r="E422">
        <v>37.799999999999997</v>
      </c>
      <c r="F422">
        <v>1</v>
      </c>
      <c r="G422">
        <v>0.34</v>
      </c>
      <c r="H422">
        <v>0.49</v>
      </c>
      <c r="I422">
        <v>1</v>
      </c>
    </row>
    <row r="423" spans="1:9" x14ac:dyDescent="0.3">
      <c r="A423">
        <v>8750</v>
      </c>
      <c r="D423">
        <v>22</v>
      </c>
      <c r="E423">
        <v>39.6</v>
      </c>
      <c r="F423">
        <v>1</v>
      </c>
      <c r="G423">
        <v>0.2</v>
      </c>
      <c r="H423">
        <v>0.22</v>
      </c>
      <c r="I423">
        <v>0.36</v>
      </c>
    </row>
    <row r="424" spans="1:9" x14ac:dyDescent="0.3">
      <c r="A424">
        <v>8769</v>
      </c>
      <c r="D424">
        <v>23</v>
      </c>
      <c r="E424">
        <v>41.4</v>
      </c>
      <c r="F424">
        <v>1</v>
      </c>
      <c r="G424">
        <v>-0.13</v>
      </c>
      <c r="H424">
        <v>0.05</v>
      </c>
      <c r="I424">
        <v>0.62</v>
      </c>
    </row>
    <row r="425" spans="1:9" x14ac:dyDescent="0.3">
      <c r="A425">
        <v>8790</v>
      </c>
      <c r="D425">
        <v>24</v>
      </c>
      <c r="E425">
        <v>43.2</v>
      </c>
      <c r="F425">
        <v>1</v>
      </c>
      <c r="G425">
        <v>0.38</v>
      </c>
      <c r="H425">
        <v>0.94</v>
      </c>
      <c r="I425">
        <v>0.72</v>
      </c>
    </row>
    <row r="426" spans="1:9" x14ac:dyDescent="0.3">
      <c r="A426">
        <v>8809</v>
      </c>
      <c r="D426">
        <v>25</v>
      </c>
      <c r="E426">
        <v>45</v>
      </c>
      <c r="F426">
        <v>1</v>
      </c>
      <c r="G426">
        <v>0.06</v>
      </c>
      <c r="H426">
        <v>0.73</v>
      </c>
      <c r="I426">
        <v>1</v>
      </c>
    </row>
    <row r="427" spans="1:9" x14ac:dyDescent="0.3">
      <c r="A427">
        <v>8829</v>
      </c>
      <c r="D427">
        <v>26</v>
      </c>
      <c r="E427">
        <v>46.8</v>
      </c>
      <c r="F427">
        <v>1</v>
      </c>
      <c r="G427">
        <v>0.28000000000000003</v>
      </c>
      <c r="H427">
        <v>0.32</v>
      </c>
      <c r="I427">
        <v>1.1599999999999999</v>
      </c>
    </row>
    <row r="428" spans="1:9" x14ac:dyDescent="0.3">
      <c r="A428">
        <v>8849</v>
      </c>
      <c r="D428">
        <v>27</v>
      </c>
      <c r="E428">
        <v>48.6</v>
      </c>
      <c r="F428">
        <v>1</v>
      </c>
      <c r="G428">
        <v>-1.06</v>
      </c>
      <c r="H428">
        <v>-1.2</v>
      </c>
      <c r="I428">
        <v>0.7</v>
      </c>
    </row>
    <row r="429" spans="1:9" x14ac:dyDescent="0.3">
      <c r="A429">
        <v>8869</v>
      </c>
      <c r="D429">
        <v>28</v>
      </c>
      <c r="E429">
        <v>50.4</v>
      </c>
      <c r="F429">
        <v>1</v>
      </c>
      <c r="G429">
        <v>0.81</v>
      </c>
      <c r="H429">
        <v>1.81</v>
      </c>
      <c r="I429">
        <v>0.91</v>
      </c>
    </row>
    <row r="430" spans="1:9" x14ac:dyDescent="0.3">
      <c r="A430">
        <v>8889</v>
      </c>
      <c r="D430">
        <v>29</v>
      </c>
      <c r="E430">
        <v>52.2</v>
      </c>
      <c r="F430">
        <v>1</v>
      </c>
      <c r="G430">
        <v>-0.11</v>
      </c>
      <c r="H430">
        <v>0.36</v>
      </c>
      <c r="I430">
        <v>0.52</v>
      </c>
    </row>
    <row r="431" spans="1:9" x14ac:dyDescent="0.3">
      <c r="A431">
        <v>8909</v>
      </c>
      <c r="D431">
        <v>30</v>
      </c>
      <c r="E431">
        <v>54</v>
      </c>
      <c r="F431">
        <v>1</v>
      </c>
      <c r="G431">
        <v>0.1</v>
      </c>
      <c r="H431">
        <v>-0.06</v>
      </c>
      <c r="I431">
        <v>0.93</v>
      </c>
    </row>
    <row r="432" spans="1:9" x14ac:dyDescent="0.3">
      <c r="A432">
        <v>8929</v>
      </c>
      <c r="D432">
        <v>31</v>
      </c>
      <c r="E432">
        <v>55.8</v>
      </c>
      <c r="F432">
        <v>1</v>
      </c>
      <c r="G432">
        <v>-0.73</v>
      </c>
      <c r="H432">
        <v>-0.87</v>
      </c>
      <c r="I432">
        <v>0.04</v>
      </c>
    </row>
    <row r="433" spans="1:9" x14ac:dyDescent="0.3">
      <c r="A433">
        <v>8949</v>
      </c>
      <c r="D433">
        <v>32</v>
      </c>
      <c r="E433">
        <v>57.6</v>
      </c>
      <c r="F433">
        <v>1</v>
      </c>
      <c r="G433">
        <v>-0.57999999999999996</v>
      </c>
      <c r="H433">
        <v>-0.88</v>
      </c>
      <c r="I433">
        <v>1.57</v>
      </c>
    </row>
    <row r="434" spans="1:9" x14ac:dyDescent="0.3">
      <c r="A434">
        <v>8969</v>
      </c>
      <c r="D434">
        <v>33</v>
      </c>
      <c r="E434">
        <v>59.4</v>
      </c>
      <c r="F434">
        <v>1</v>
      </c>
      <c r="G434">
        <v>0.56000000000000005</v>
      </c>
      <c r="H434">
        <v>1.28</v>
      </c>
      <c r="I434">
        <v>0.59</v>
      </c>
    </row>
    <row r="435" spans="1:9" x14ac:dyDescent="0.3">
      <c r="A435">
        <v>8989</v>
      </c>
      <c r="D435">
        <v>34</v>
      </c>
      <c r="E435">
        <v>61.2</v>
      </c>
      <c r="F435">
        <v>1</v>
      </c>
      <c r="G435">
        <v>-0.69</v>
      </c>
      <c r="H435">
        <v>0.57999999999999996</v>
      </c>
      <c r="I435">
        <v>2.04</v>
      </c>
    </row>
    <row r="436" spans="1:9" x14ac:dyDescent="0.3">
      <c r="A436">
        <v>9010</v>
      </c>
      <c r="D436">
        <v>35</v>
      </c>
      <c r="E436">
        <v>63</v>
      </c>
      <c r="F436">
        <v>1</v>
      </c>
      <c r="G436">
        <v>-0.48</v>
      </c>
      <c r="H436">
        <v>-0.15</v>
      </c>
      <c r="I436">
        <v>0.26</v>
      </c>
    </row>
    <row r="437" spans="1:9" x14ac:dyDescent="0.3">
      <c r="A437">
        <v>9029</v>
      </c>
      <c r="D437">
        <v>36</v>
      </c>
      <c r="E437">
        <v>64.8</v>
      </c>
      <c r="F437">
        <v>1</v>
      </c>
      <c r="G437">
        <v>-0.45</v>
      </c>
      <c r="H437">
        <v>-1.25</v>
      </c>
      <c r="I437">
        <v>1.96</v>
      </c>
    </row>
    <row r="438" spans="1:9" x14ac:dyDescent="0.3">
      <c r="A438">
        <v>9050</v>
      </c>
      <c r="D438">
        <v>37</v>
      </c>
      <c r="E438">
        <v>66.599999999999994</v>
      </c>
      <c r="F438">
        <v>1</v>
      </c>
      <c r="G438">
        <v>1.1100000000000001</v>
      </c>
      <c r="H438">
        <v>0.73</v>
      </c>
      <c r="I438">
        <v>0.89</v>
      </c>
    </row>
    <row r="439" spans="1:9" x14ac:dyDescent="0.3">
      <c r="A439">
        <v>9069</v>
      </c>
      <c r="D439">
        <v>38</v>
      </c>
      <c r="E439">
        <v>68.400000000000006</v>
      </c>
      <c r="F439">
        <v>0</v>
      </c>
      <c r="G439">
        <v>-1.2</v>
      </c>
      <c r="H439">
        <v>-0.46</v>
      </c>
      <c r="I439">
        <v>1.07</v>
      </c>
    </row>
    <row r="440" spans="1:9" x14ac:dyDescent="0.3">
      <c r="A440">
        <v>9090</v>
      </c>
      <c r="D440">
        <v>39</v>
      </c>
      <c r="E440">
        <v>70.2</v>
      </c>
      <c r="F440">
        <v>0</v>
      </c>
      <c r="G440">
        <v>0.27</v>
      </c>
      <c r="H440">
        <v>0.51</v>
      </c>
      <c r="I440">
        <v>1.1399999999999999</v>
      </c>
    </row>
    <row r="441" spans="1:9" x14ac:dyDescent="0.3">
      <c r="A441">
        <v>9109</v>
      </c>
      <c r="D441">
        <v>40</v>
      </c>
      <c r="E441">
        <v>72</v>
      </c>
      <c r="F441">
        <v>0</v>
      </c>
      <c r="G441">
        <v>-0.21</v>
      </c>
      <c r="H441">
        <v>0.49</v>
      </c>
      <c r="I441">
        <v>1.22</v>
      </c>
    </row>
    <row r="442" spans="1:9" x14ac:dyDescent="0.3">
      <c r="A442">
        <v>9129</v>
      </c>
      <c r="D442">
        <v>41</v>
      </c>
      <c r="E442">
        <v>73.8</v>
      </c>
      <c r="F442">
        <v>0</v>
      </c>
      <c r="G442">
        <v>7.0000000000000007E-2</v>
      </c>
      <c r="H442">
        <v>0.3</v>
      </c>
      <c r="I442">
        <v>0.39</v>
      </c>
    </row>
    <row r="443" spans="1:9" x14ac:dyDescent="0.3">
      <c r="A443">
        <v>9149</v>
      </c>
      <c r="D443">
        <v>42</v>
      </c>
      <c r="E443">
        <v>75.599999999999994</v>
      </c>
      <c r="F443">
        <v>0</v>
      </c>
      <c r="G443">
        <v>-0.33</v>
      </c>
      <c r="H443">
        <v>0.16</v>
      </c>
      <c r="I443">
        <v>1.07</v>
      </c>
    </row>
    <row r="444" spans="1:9" x14ac:dyDescent="0.3">
      <c r="A444">
        <v>9169</v>
      </c>
      <c r="D444">
        <v>43</v>
      </c>
      <c r="E444">
        <v>77.400000000000006</v>
      </c>
      <c r="F444">
        <v>0</v>
      </c>
      <c r="G444">
        <v>0.05</v>
      </c>
      <c r="H444">
        <v>-0.37</v>
      </c>
      <c r="I444">
        <v>0.28000000000000003</v>
      </c>
    </row>
    <row r="445" spans="1:9" x14ac:dyDescent="0.3">
      <c r="A445">
        <v>9189</v>
      </c>
      <c r="D445">
        <v>44</v>
      </c>
      <c r="E445">
        <v>79.2</v>
      </c>
      <c r="F445">
        <v>0</v>
      </c>
      <c r="G445">
        <v>-0.63</v>
      </c>
      <c r="H445">
        <v>0</v>
      </c>
      <c r="I445">
        <v>0.85</v>
      </c>
    </row>
    <row r="446" spans="1:9" x14ac:dyDescent="0.3">
      <c r="A446">
        <v>9209</v>
      </c>
      <c r="D446">
        <v>45</v>
      </c>
      <c r="E446">
        <v>81</v>
      </c>
      <c r="F446">
        <v>1</v>
      </c>
      <c r="G446">
        <v>0.41</v>
      </c>
      <c r="H446">
        <v>-0.1</v>
      </c>
      <c r="I446">
        <v>0.36</v>
      </c>
    </row>
    <row r="447" spans="1:9" x14ac:dyDescent="0.3">
      <c r="A447">
        <v>9229</v>
      </c>
      <c r="D447">
        <v>46</v>
      </c>
      <c r="E447">
        <v>82.8</v>
      </c>
      <c r="F447">
        <v>1</v>
      </c>
      <c r="G447">
        <v>-0.2</v>
      </c>
      <c r="H447">
        <v>-0.28999999999999998</v>
      </c>
      <c r="I447">
        <v>1.1399999999999999</v>
      </c>
    </row>
    <row r="448" spans="1:9" x14ac:dyDescent="0.3">
      <c r="A448">
        <v>9249</v>
      </c>
      <c r="D448">
        <v>47</v>
      </c>
      <c r="E448">
        <v>84.6</v>
      </c>
      <c r="F448">
        <v>1</v>
      </c>
      <c r="G448">
        <v>0.14000000000000001</v>
      </c>
      <c r="H448">
        <v>-0.31</v>
      </c>
      <c r="I448">
        <v>0.62</v>
      </c>
    </row>
    <row r="449" spans="1:9" x14ac:dyDescent="0.3">
      <c r="A449">
        <v>9269</v>
      </c>
      <c r="D449">
        <v>48</v>
      </c>
      <c r="E449">
        <v>86.4</v>
      </c>
      <c r="F449">
        <v>1</v>
      </c>
      <c r="G449">
        <v>-0.27</v>
      </c>
      <c r="H449">
        <v>-0.25</v>
      </c>
      <c r="I449">
        <v>1.1200000000000001</v>
      </c>
    </row>
    <row r="450" spans="1:9" x14ac:dyDescent="0.3">
      <c r="A450">
        <v>9289</v>
      </c>
      <c r="D450">
        <v>49</v>
      </c>
      <c r="E450">
        <v>88.2</v>
      </c>
      <c r="F450">
        <v>1</v>
      </c>
      <c r="G450">
        <v>0.22</v>
      </c>
      <c r="H450">
        <v>0.14000000000000001</v>
      </c>
      <c r="I450">
        <v>0.27</v>
      </c>
    </row>
    <row r="451" spans="1:9" x14ac:dyDescent="0.3">
      <c r="A451">
        <v>9310</v>
      </c>
      <c r="D451">
        <v>50</v>
      </c>
      <c r="E451">
        <v>90</v>
      </c>
      <c r="F451">
        <v>1</v>
      </c>
      <c r="G451">
        <v>0.12</v>
      </c>
      <c r="H451">
        <v>0.05</v>
      </c>
      <c r="I451">
        <v>0.83</v>
      </c>
    </row>
    <row r="452" spans="1:9" x14ac:dyDescent="0.3">
      <c r="A452">
        <v>9329</v>
      </c>
      <c r="D452">
        <v>51</v>
      </c>
      <c r="E452">
        <v>91.8</v>
      </c>
      <c r="F452">
        <v>1</v>
      </c>
      <c r="G452">
        <v>0.47</v>
      </c>
      <c r="H452">
        <v>-0.44</v>
      </c>
      <c r="I452">
        <v>0.39</v>
      </c>
    </row>
    <row r="453" spans="1:9" x14ac:dyDescent="0.3">
      <c r="A453">
        <v>9350</v>
      </c>
      <c r="D453">
        <v>52</v>
      </c>
      <c r="E453">
        <v>93.6</v>
      </c>
      <c r="F453">
        <v>1</v>
      </c>
      <c r="G453">
        <v>-0.64</v>
      </c>
      <c r="H453">
        <v>0.05</v>
      </c>
      <c r="I453">
        <v>1.42</v>
      </c>
    </row>
    <row r="454" spans="1:9" x14ac:dyDescent="0.3">
      <c r="A454">
        <v>9369</v>
      </c>
      <c r="D454">
        <v>53</v>
      </c>
      <c r="E454">
        <v>95.4</v>
      </c>
      <c r="F454">
        <v>1</v>
      </c>
      <c r="G454">
        <v>0.37</v>
      </c>
      <c r="H454">
        <v>0.19</v>
      </c>
      <c r="I454">
        <v>-0.24</v>
      </c>
    </row>
    <row r="455" spans="1:9" x14ac:dyDescent="0.3">
      <c r="A455">
        <v>9390</v>
      </c>
      <c r="D455">
        <v>54</v>
      </c>
      <c r="E455">
        <v>97.2</v>
      </c>
      <c r="F455">
        <v>1</v>
      </c>
      <c r="G455">
        <v>0.18</v>
      </c>
      <c r="H455">
        <v>-0.66</v>
      </c>
      <c r="I455">
        <v>0.93</v>
      </c>
    </row>
    <row r="456" spans="1:9" x14ac:dyDescent="0.3">
      <c r="A456">
        <v>9409</v>
      </c>
      <c r="D456">
        <v>55</v>
      </c>
      <c r="E456">
        <v>99</v>
      </c>
      <c r="F456">
        <v>1</v>
      </c>
      <c r="G456">
        <v>0.5</v>
      </c>
      <c r="H456">
        <v>-0.37</v>
      </c>
      <c r="I456">
        <v>0.3</v>
      </c>
    </row>
    <row r="457" spans="1:9" x14ac:dyDescent="0.3">
      <c r="A457">
        <v>9430</v>
      </c>
      <c r="D457">
        <v>56</v>
      </c>
      <c r="E457">
        <v>100.8</v>
      </c>
      <c r="F457">
        <v>1</v>
      </c>
      <c r="G457">
        <v>-0.59</v>
      </c>
      <c r="H457">
        <v>0.46</v>
      </c>
      <c r="I457">
        <v>1.38</v>
      </c>
    </row>
    <row r="458" spans="1:9" x14ac:dyDescent="0.3">
      <c r="A458">
        <v>9449</v>
      </c>
      <c r="D458">
        <v>57</v>
      </c>
      <c r="E458">
        <v>102.6</v>
      </c>
      <c r="F458">
        <v>1</v>
      </c>
      <c r="G458">
        <v>-0.34</v>
      </c>
      <c r="H458">
        <v>0.03</v>
      </c>
      <c r="I458">
        <v>0.08</v>
      </c>
    </row>
    <row r="459" spans="1:9" x14ac:dyDescent="0.3">
      <c r="A459">
        <v>9469</v>
      </c>
      <c r="D459">
        <v>58</v>
      </c>
      <c r="E459">
        <v>104.4</v>
      </c>
      <c r="F459">
        <v>1</v>
      </c>
      <c r="G459">
        <v>0</v>
      </c>
      <c r="H459">
        <v>-0.6</v>
      </c>
      <c r="I459">
        <v>0.9</v>
      </c>
    </row>
    <row r="460" spans="1:9" x14ac:dyDescent="0.3">
      <c r="A460">
        <v>9489</v>
      </c>
      <c r="D460">
        <v>59</v>
      </c>
      <c r="E460">
        <v>106.2</v>
      </c>
      <c r="F460">
        <v>1</v>
      </c>
      <c r="G460">
        <v>0.15</v>
      </c>
      <c r="H460">
        <v>-0.41</v>
      </c>
      <c r="I460">
        <v>0.45</v>
      </c>
    </row>
    <row r="461" spans="1:9" x14ac:dyDescent="0.3">
      <c r="A461">
        <v>9509</v>
      </c>
      <c r="D461">
        <v>60</v>
      </c>
      <c r="E461">
        <v>108</v>
      </c>
      <c r="F461">
        <v>1</v>
      </c>
      <c r="G461">
        <v>-0.68</v>
      </c>
      <c r="H461">
        <v>0.68</v>
      </c>
      <c r="I461">
        <v>0.94</v>
      </c>
    </row>
    <row r="462" spans="1:9" x14ac:dyDescent="0.3">
      <c r="A462">
        <v>9529</v>
      </c>
      <c r="D462">
        <v>61</v>
      </c>
      <c r="E462">
        <v>109.8</v>
      </c>
      <c r="F462">
        <v>1</v>
      </c>
      <c r="G462">
        <v>0.34</v>
      </c>
      <c r="H462">
        <v>0.41</v>
      </c>
      <c r="I462">
        <v>0.8</v>
      </c>
    </row>
    <row r="463" spans="1:9" x14ac:dyDescent="0.3">
      <c r="A463">
        <v>9549</v>
      </c>
      <c r="D463">
        <v>62</v>
      </c>
      <c r="E463">
        <v>111.6</v>
      </c>
      <c r="F463">
        <v>1</v>
      </c>
      <c r="G463">
        <v>-0.05</v>
      </c>
      <c r="H463">
        <v>-0.61</v>
      </c>
      <c r="I463">
        <v>0.57999999999999996</v>
      </c>
    </row>
    <row r="464" spans="1:9" x14ac:dyDescent="0.3">
      <c r="A464">
        <v>9569</v>
      </c>
      <c r="D464">
        <v>63</v>
      </c>
      <c r="E464">
        <v>113.4</v>
      </c>
      <c r="F464">
        <v>1</v>
      </c>
      <c r="G464">
        <v>-0.06</v>
      </c>
      <c r="H464">
        <v>-0.14000000000000001</v>
      </c>
      <c r="I464">
        <v>0.36</v>
      </c>
    </row>
    <row r="465" spans="1:9" x14ac:dyDescent="0.3">
      <c r="A465">
        <v>9589</v>
      </c>
      <c r="D465">
        <v>64</v>
      </c>
      <c r="E465">
        <v>115.2</v>
      </c>
      <c r="F465">
        <v>1</v>
      </c>
      <c r="G465">
        <v>-0.53</v>
      </c>
      <c r="H465">
        <v>0.11</v>
      </c>
      <c r="I465">
        <v>1.23</v>
      </c>
    </row>
    <row r="466" spans="1:9" x14ac:dyDescent="0.3">
      <c r="A466">
        <v>9610</v>
      </c>
      <c r="D466">
        <v>65</v>
      </c>
      <c r="E466">
        <v>117</v>
      </c>
      <c r="F466">
        <v>1</v>
      </c>
      <c r="G466">
        <v>-7.0000000000000007E-2</v>
      </c>
      <c r="H466">
        <v>0.63</v>
      </c>
      <c r="I466">
        <v>0.02</v>
      </c>
    </row>
    <row r="467" spans="1:9" x14ac:dyDescent="0.3">
      <c r="A467">
        <v>9629</v>
      </c>
      <c r="D467">
        <v>66</v>
      </c>
      <c r="E467">
        <v>118.8</v>
      </c>
      <c r="F467">
        <v>1</v>
      </c>
      <c r="G467">
        <v>0.28999999999999998</v>
      </c>
      <c r="H467">
        <v>0.28999999999999998</v>
      </c>
      <c r="I467">
        <v>0.93</v>
      </c>
    </row>
    <row r="468" spans="1:9" x14ac:dyDescent="0.3">
      <c r="A468">
        <v>9650</v>
      </c>
      <c r="D468">
        <v>67</v>
      </c>
      <c r="E468">
        <v>120.6</v>
      </c>
      <c r="F468">
        <v>1</v>
      </c>
      <c r="G468">
        <v>-0.39</v>
      </c>
      <c r="H468">
        <v>-0.35</v>
      </c>
      <c r="I468">
        <v>0.3</v>
      </c>
    </row>
    <row r="469" spans="1:9" x14ac:dyDescent="0.3">
      <c r="A469">
        <v>9669</v>
      </c>
      <c r="D469">
        <v>68</v>
      </c>
      <c r="E469">
        <v>122.4</v>
      </c>
      <c r="F469">
        <v>1</v>
      </c>
      <c r="G469">
        <v>-0.12</v>
      </c>
      <c r="H469">
        <v>0.21</v>
      </c>
      <c r="I469">
        <v>1.29</v>
      </c>
    </row>
    <row r="470" spans="1:9" x14ac:dyDescent="0.3">
      <c r="A470">
        <v>9690</v>
      </c>
      <c r="D470">
        <v>69</v>
      </c>
      <c r="E470">
        <v>124.2</v>
      </c>
      <c r="F470">
        <v>1</v>
      </c>
      <c r="G470">
        <v>0.04</v>
      </c>
      <c r="H470">
        <v>0.2</v>
      </c>
      <c r="I470">
        <v>-0.19</v>
      </c>
    </row>
    <row r="471" spans="1:9" x14ac:dyDescent="0.3">
      <c r="A471">
        <v>9709</v>
      </c>
      <c r="D471">
        <v>70</v>
      </c>
      <c r="E471">
        <v>126</v>
      </c>
      <c r="F471">
        <v>1</v>
      </c>
      <c r="G471">
        <v>0.14000000000000001</v>
      </c>
      <c r="H471">
        <v>0.11</v>
      </c>
      <c r="I471">
        <v>0.5</v>
      </c>
    </row>
    <row r="472" spans="1:9" x14ac:dyDescent="0.3">
      <c r="A472">
        <v>9730</v>
      </c>
      <c r="D472">
        <v>71</v>
      </c>
      <c r="E472">
        <v>127.8</v>
      </c>
      <c r="F472">
        <v>1</v>
      </c>
      <c r="G472">
        <v>0</v>
      </c>
      <c r="H472">
        <v>0.09</v>
      </c>
      <c r="I472">
        <v>0.22</v>
      </c>
    </row>
    <row r="473" spans="1:9" x14ac:dyDescent="0.3">
      <c r="A473">
        <v>9749</v>
      </c>
      <c r="D473">
        <v>72</v>
      </c>
      <c r="E473">
        <v>129.6</v>
      </c>
      <c r="F473">
        <v>1</v>
      </c>
      <c r="G473">
        <v>-0.14000000000000001</v>
      </c>
      <c r="H473">
        <v>0.38</v>
      </c>
      <c r="I473">
        <v>0.98</v>
      </c>
    </row>
    <row r="474" spans="1:9" x14ac:dyDescent="0.3">
      <c r="A474">
        <v>9769</v>
      </c>
      <c r="D474">
        <v>73</v>
      </c>
      <c r="E474">
        <v>131.4</v>
      </c>
      <c r="F474">
        <v>1</v>
      </c>
      <c r="G474">
        <v>-0.41</v>
      </c>
      <c r="H474">
        <v>0.47</v>
      </c>
      <c r="I474">
        <v>0.64</v>
      </c>
    </row>
    <row r="475" spans="1:9" x14ac:dyDescent="0.3">
      <c r="A475">
        <v>9789</v>
      </c>
      <c r="D475">
        <v>74</v>
      </c>
      <c r="E475">
        <v>133.19999999999999</v>
      </c>
      <c r="F475">
        <v>1</v>
      </c>
      <c r="G475">
        <v>-0.62</v>
      </c>
      <c r="H475">
        <v>0.25</v>
      </c>
      <c r="I475">
        <v>0.97</v>
      </c>
    </row>
    <row r="476" spans="1:9" x14ac:dyDescent="0.3">
      <c r="A476">
        <v>9809</v>
      </c>
      <c r="D476">
        <v>75</v>
      </c>
      <c r="E476">
        <v>135</v>
      </c>
      <c r="F476">
        <v>1</v>
      </c>
      <c r="G476">
        <v>-0.09</v>
      </c>
      <c r="H476">
        <v>0.49</v>
      </c>
      <c r="I476">
        <v>0.4</v>
      </c>
    </row>
    <row r="477" spans="1:9" x14ac:dyDescent="0.3">
      <c r="A477">
        <v>9829</v>
      </c>
      <c r="D477">
        <v>76</v>
      </c>
      <c r="E477">
        <v>136.80000000000001</v>
      </c>
      <c r="F477">
        <v>1</v>
      </c>
      <c r="G477">
        <v>-0.56999999999999995</v>
      </c>
      <c r="H477">
        <v>0.59</v>
      </c>
      <c r="I477">
        <v>0.46</v>
      </c>
    </row>
    <row r="478" spans="1:9" x14ac:dyDescent="0.3">
      <c r="A478">
        <v>9849</v>
      </c>
      <c r="D478">
        <v>77</v>
      </c>
      <c r="E478">
        <v>138.6</v>
      </c>
      <c r="F478">
        <v>1</v>
      </c>
      <c r="G478">
        <v>-0.38</v>
      </c>
      <c r="H478">
        <v>0.18</v>
      </c>
      <c r="I478">
        <v>-0.35</v>
      </c>
    </row>
    <row r="479" spans="1:9" x14ac:dyDescent="0.3">
      <c r="A479">
        <v>9869</v>
      </c>
      <c r="D479">
        <v>78</v>
      </c>
      <c r="E479">
        <v>140.4</v>
      </c>
      <c r="F479">
        <v>1</v>
      </c>
      <c r="G479">
        <v>-0.15</v>
      </c>
      <c r="H479">
        <v>-0.1</v>
      </c>
      <c r="I479">
        <v>0.39</v>
      </c>
    </row>
    <row r="480" spans="1:9" x14ac:dyDescent="0.3">
      <c r="A480">
        <v>9889</v>
      </c>
      <c r="D480">
        <v>79</v>
      </c>
      <c r="E480">
        <v>142.19999999999999</v>
      </c>
      <c r="F480">
        <v>1</v>
      </c>
      <c r="G480">
        <v>-0.27</v>
      </c>
      <c r="H480">
        <v>0.65</v>
      </c>
      <c r="I480">
        <v>-0.04</v>
      </c>
    </row>
    <row r="481" spans="1:9" x14ac:dyDescent="0.3">
      <c r="A481">
        <v>9909</v>
      </c>
      <c r="D481">
        <v>80</v>
      </c>
      <c r="E481">
        <v>144</v>
      </c>
      <c r="F481">
        <v>1</v>
      </c>
      <c r="G481">
        <v>-0.11</v>
      </c>
      <c r="H481">
        <v>0.34</v>
      </c>
      <c r="I481">
        <v>0.4</v>
      </c>
    </row>
    <row r="482" spans="1:9" x14ac:dyDescent="0.3">
      <c r="A482">
        <v>9929</v>
      </c>
      <c r="D482">
        <v>81</v>
      </c>
      <c r="E482">
        <v>145.80000000000001</v>
      </c>
      <c r="F482">
        <v>1</v>
      </c>
      <c r="G482">
        <v>0.03</v>
      </c>
      <c r="H482">
        <v>0.4</v>
      </c>
      <c r="I482">
        <v>-0.14000000000000001</v>
      </c>
    </row>
    <row r="483" spans="1:9" x14ac:dyDescent="0.3">
      <c r="A483">
        <v>9950</v>
      </c>
      <c r="D483">
        <v>82</v>
      </c>
      <c r="E483">
        <v>147.6</v>
      </c>
      <c r="F483">
        <v>1</v>
      </c>
      <c r="G483">
        <v>-0.12</v>
      </c>
      <c r="H483">
        <v>0.16</v>
      </c>
      <c r="I483">
        <v>0.06</v>
      </c>
    </row>
    <row r="484" spans="1:9" x14ac:dyDescent="0.3">
      <c r="A484">
        <v>9969</v>
      </c>
      <c r="D484">
        <v>83</v>
      </c>
      <c r="E484">
        <v>149.4</v>
      </c>
      <c r="F484">
        <v>1</v>
      </c>
      <c r="G484">
        <v>-0.21</v>
      </c>
      <c r="H484">
        <v>0.65</v>
      </c>
      <c r="I484">
        <v>-0.38</v>
      </c>
    </row>
    <row r="485" spans="1:9" x14ac:dyDescent="0.3">
      <c r="A485">
        <v>9990</v>
      </c>
      <c r="D485">
        <v>84</v>
      </c>
      <c r="E485">
        <v>151.19999999999999</v>
      </c>
      <c r="F485">
        <v>1</v>
      </c>
      <c r="G485">
        <v>-0.35</v>
      </c>
      <c r="H485">
        <v>0.1</v>
      </c>
      <c r="I485">
        <v>0.56000000000000005</v>
      </c>
    </row>
    <row r="486" spans="1:9" x14ac:dyDescent="0.3">
      <c r="A486">
        <v>10009</v>
      </c>
      <c r="D486">
        <v>85</v>
      </c>
      <c r="E486">
        <v>153</v>
      </c>
      <c r="F486">
        <v>1</v>
      </c>
      <c r="G486">
        <v>0.17</v>
      </c>
      <c r="H486">
        <v>0.34</v>
      </c>
      <c r="I486">
        <v>-0.1</v>
      </c>
    </row>
    <row r="487" spans="1:9" x14ac:dyDescent="0.3">
      <c r="A487">
        <v>10030</v>
      </c>
      <c r="D487">
        <v>86</v>
      </c>
      <c r="E487">
        <v>154.80000000000001</v>
      </c>
      <c r="F487">
        <v>1</v>
      </c>
      <c r="G487">
        <v>-0.38</v>
      </c>
      <c r="H487">
        <v>0.33</v>
      </c>
      <c r="I487">
        <v>0.56000000000000005</v>
      </c>
    </row>
    <row r="488" spans="1:9" x14ac:dyDescent="0.3">
      <c r="A488">
        <v>10049</v>
      </c>
      <c r="D488">
        <v>87</v>
      </c>
      <c r="E488">
        <v>156.6</v>
      </c>
      <c r="F488">
        <v>1</v>
      </c>
      <c r="G488">
        <v>0.21</v>
      </c>
      <c r="H488">
        <v>-0.12</v>
      </c>
      <c r="I488">
        <v>-0.46</v>
      </c>
    </row>
    <row r="489" spans="1:9" x14ac:dyDescent="0.3">
      <c r="A489">
        <v>10070</v>
      </c>
      <c r="D489">
        <v>88</v>
      </c>
      <c r="E489">
        <v>158.4</v>
      </c>
      <c r="F489">
        <v>1</v>
      </c>
      <c r="G489">
        <v>-0.23</v>
      </c>
      <c r="H489">
        <v>-0.37</v>
      </c>
      <c r="I489">
        <v>0.15</v>
      </c>
    </row>
    <row r="490" spans="1:9" x14ac:dyDescent="0.3">
      <c r="A490">
        <v>10089</v>
      </c>
      <c r="D490">
        <v>89</v>
      </c>
      <c r="E490">
        <v>160.19999999999999</v>
      </c>
      <c r="F490">
        <v>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7BDA-FEA7-4D48-884C-B1619087C6FC}">
  <dimension ref="A1:O362"/>
  <sheetViews>
    <sheetView topLeftCell="D1" zoomScale="72" workbookViewId="0">
      <selection activeCell="N20" sqref="N20"/>
    </sheetView>
  </sheetViews>
  <sheetFormatPr defaultRowHeight="14.4" x14ac:dyDescent="0.3"/>
  <cols>
    <col min="2" max="2" width="22.44140625" bestFit="1" customWidth="1"/>
    <col min="3" max="3" width="14.21875" bestFit="1" customWidth="1"/>
    <col min="4" max="4" width="12.44140625" bestFit="1" customWidth="1"/>
    <col min="5" max="7" width="12.44140625" customWidth="1"/>
    <col min="8" max="8" width="7.33203125" customWidth="1"/>
    <col min="9" max="9" width="14.109375" bestFit="1" customWidth="1"/>
    <col min="10" max="10" width="7.33203125" customWidth="1"/>
    <col min="11" max="11" width="12.44140625" bestFit="1" customWidth="1"/>
    <col min="12" max="12" width="13.88671875" bestFit="1" customWidth="1"/>
  </cols>
  <sheetData>
    <row r="1" spans="1:15" x14ac:dyDescent="0.3">
      <c r="A1" t="s">
        <v>11</v>
      </c>
      <c r="B1" t="s">
        <v>10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24</v>
      </c>
      <c r="K1" t="s">
        <v>12</v>
      </c>
      <c r="L1" t="s">
        <v>13</v>
      </c>
    </row>
    <row r="2" spans="1:15" x14ac:dyDescent="0.3">
      <c r="A2">
        <v>0</v>
      </c>
      <c r="B2">
        <v>-0.7823</v>
      </c>
      <c r="C2">
        <f>B2*-1</f>
        <v>0.7823</v>
      </c>
      <c r="E2">
        <f>_xlfn.XLOOKUP(K2,$A$2:$A$361,$A$2:$A$361,,-1)</f>
        <v>1.1142061E-2</v>
      </c>
      <c r="F2">
        <f>_xlfn.XLOOKUP(K2,$A$2:$A$361,$A$2:$A$361,,1)</f>
        <v>2.2284122E-2</v>
      </c>
      <c r="G2">
        <f>_xlfn.XLOOKUP(E2,$A$2:$A$361,$C$2:$C$361,,-1)</f>
        <v>0.7843</v>
      </c>
      <c r="H2">
        <f>_xlfn.XLOOKUP(F2,$A$2:$A$361,$C$2:$C$361,,1)</f>
        <v>0.78549999999999998</v>
      </c>
      <c r="I2">
        <f>_xlfn.FORECAST.LINEAR(K2,G2:H2,E2:F2)</f>
        <v>0.78525400005438839</v>
      </c>
      <c r="K2">
        <v>0.02</v>
      </c>
      <c r="L2">
        <v>2.0499999999999998</v>
      </c>
      <c r="M2" t="s">
        <v>20</v>
      </c>
      <c r="N2" cm="1">
        <f t="array" ref="N2">SUMSQ(L2:L201-I2:I201)</f>
        <v>26.621562528171783</v>
      </c>
    </row>
    <row r="3" spans="1:15" x14ac:dyDescent="0.3">
      <c r="A3">
        <v>1.1142061E-2</v>
      </c>
      <c r="B3">
        <v>-0.7843</v>
      </c>
      <c r="C3">
        <f t="shared" ref="C3:C66" si="0">B3*-1</f>
        <v>0.7843</v>
      </c>
      <c r="E3">
        <f t="shared" ref="E3:E66" si="1">_xlfn.XLOOKUP(K3,A:A,A:A,,-1)</f>
        <v>3.3426182999999998E-2</v>
      </c>
      <c r="F3">
        <f t="shared" ref="F3:F66" si="2">_xlfn.XLOOKUP(K3,A:A,A:A,,1)</f>
        <v>4.4568244E-2</v>
      </c>
      <c r="G3">
        <f t="shared" ref="G3:G66" si="3">_xlfn.XLOOKUP(E3,A:A,C:C,,-1)</f>
        <v>0.78610000000000002</v>
      </c>
      <c r="H3">
        <f t="shared" ref="H3:H66" si="4">_xlfn.XLOOKUP(F3,A:A,C:C,,1)</f>
        <v>0.78600000000000003</v>
      </c>
      <c r="I3">
        <f t="shared" ref="I3:I66" si="5">_xlfn.FORECAST.LINEAR(K3,G3:H3,E3:F3)</f>
        <v>0.78604099999093524</v>
      </c>
      <c r="J3" t="s">
        <v>25</v>
      </c>
      <c r="K3">
        <v>0.04</v>
      </c>
      <c r="L3">
        <v>0.48</v>
      </c>
      <c r="M3" t="s">
        <v>21</v>
      </c>
      <c r="N3">
        <v>200</v>
      </c>
    </row>
    <row r="4" spans="1:15" x14ac:dyDescent="0.3">
      <c r="A4">
        <v>2.2284122E-2</v>
      </c>
      <c r="B4">
        <v>-0.78549999999999998</v>
      </c>
      <c r="C4">
        <f t="shared" si="0"/>
        <v>0.78549999999999998</v>
      </c>
      <c r="E4">
        <f t="shared" si="1"/>
        <v>5.5710305000000002E-2</v>
      </c>
      <c r="F4">
        <f t="shared" si="2"/>
        <v>6.6852365999999996E-2</v>
      </c>
      <c r="G4">
        <f t="shared" si="3"/>
        <v>0.78520000000000001</v>
      </c>
      <c r="H4">
        <f t="shared" si="4"/>
        <v>0.78380000000000005</v>
      </c>
      <c r="I4">
        <f t="shared" si="5"/>
        <v>0.78478664981281288</v>
      </c>
      <c r="J4">
        <f>MAX(I2:I201)</f>
        <v>0.78604099999093524</v>
      </c>
      <c r="K4">
        <v>5.8999999999999997E-2</v>
      </c>
      <c r="L4">
        <v>0.8</v>
      </c>
      <c r="M4" s="3" t="s">
        <v>22</v>
      </c>
      <c r="N4" s="3">
        <f>SQRT(N2/N3)</f>
        <v>0.36483943405402181</v>
      </c>
      <c r="O4" s="3" t="s">
        <v>23</v>
      </c>
    </row>
    <row r="5" spans="1:15" x14ac:dyDescent="0.3">
      <c r="A5">
        <v>3.3426182999999998E-2</v>
      </c>
      <c r="B5">
        <v>-0.78610000000000002</v>
      </c>
      <c r="C5">
        <f t="shared" si="0"/>
        <v>0.78610000000000002</v>
      </c>
      <c r="E5">
        <f t="shared" si="1"/>
        <v>7.7994427000000005E-2</v>
      </c>
      <c r="F5">
        <f t="shared" si="2"/>
        <v>8.9136488E-2</v>
      </c>
      <c r="G5">
        <f t="shared" si="3"/>
        <v>0.78169999999999995</v>
      </c>
      <c r="H5">
        <f t="shared" si="4"/>
        <v>0.77910000000000001</v>
      </c>
      <c r="I5">
        <f t="shared" si="5"/>
        <v>0.78123199952863298</v>
      </c>
      <c r="J5" t="s">
        <v>26</v>
      </c>
      <c r="K5">
        <v>0.08</v>
      </c>
      <c r="L5">
        <v>0.77</v>
      </c>
    </row>
    <row r="6" spans="1:15" x14ac:dyDescent="0.3">
      <c r="A6">
        <v>4.4568244E-2</v>
      </c>
      <c r="B6">
        <v>-0.78600000000000003</v>
      </c>
      <c r="C6">
        <f t="shared" si="0"/>
        <v>0.78600000000000003</v>
      </c>
      <c r="E6">
        <f t="shared" si="1"/>
        <v>8.9136488E-2</v>
      </c>
      <c r="F6">
        <f t="shared" si="2"/>
        <v>0.10027854899999999</v>
      </c>
      <c r="G6">
        <f t="shared" si="3"/>
        <v>0.77910000000000001</v>
      </c>
      <c r="H6">
        <f t="shared" si="4"/>
        <v>0.77590000000000003</v>
      </c>
      <c r="I6">
        <f t="shared" si="5"/>
        <v>0.77626719928207188</v>
      </c>
      <c r="J6">
        <f>MIN(I2:I201)</f>
        <v>-0.60205550058467638</v>
      </c>
      <c r="K6">
        <v>9.9000000000000005E-2</v>
      </c>
      <c r="L6">
        <v>1.53</v>
      </c>
      <c r="M6" t="s">
        <v>25</v>
      </c>
    </row>
    <row r="7" spans="1:15" x14ac:dyDescent="0.3">
      <c r="A7">
        <v>5.5710305000000002E-2</v>
      </c>
      <c r="B7">
        <v>-0.78520000000000001</v>
      </c>
      <c r="C7">
        <f t="shared" si="0"/>
        <v>0.78520000000000001</v>
      </c>
      <c r="E7">
        <f t="shared" si="1"/>
        <v>0.11142061</v>
      </c>
      <c r="F7">
        <f t="shared" si="2"/>
        <v>0.122562671</v>
      </c>
      <c r="G7">
        <f t="shared" si="3"/>
        <v>0.77200000000000002</v>
      </c>
      <c r="H7">
        <f t="shared" si="4"/>
        <v>0.76770000000000005</v>
      </c>
      <c r="I7">
        <f t="shared" si="5"/>
        <v>0.76868899883064723</v>
      </c>
      <c r="K7">
        <v>0.12000000000000001</v>
      </c>
      <c r="L7">
        <v>-0.24</v>
      </c>
      <c r="M7">
        <f>MAX(L2:L201)</f>
        <v>2.0499999999999998</v>
      </c>
    </row>
    <row r="8" spans="1:15" x14ac:dyDescent="0.3">
      <c r="A8">
        <v>6.6852365999999996E-2</v>
      </c>
      <c r="B8">
        <v>-0.78380000000000005</v>
      </c>
      <c r="C8">
        <f t="shared" si="0"/>
        <v>0.78380000000000005</v>
      </c>
      <c r="E8">
        <f t="shared" si="1"/>
        <v>0.13370473199999999</v>
      </c>
      <c r="F8">
        <f t="shared" si="2"/>
        <v>0.144846793</v>
      </c>
      <c r="G8">
        <f t="shared" si="3"/>
        <v>0.76290000000000002</v>
      </c>
      <c r="H8">
        <f t="shared" si="4"/>
        <v>0.75749999999999995</v>
      </c>
      <c r="I8">
        <f t="shared" si="5"/>
        <v>0.75984899828676211</v>
      </c>
      <c r="K8">
        <v>0.14000000000000001</v>
      </c>
      <c r="L8">
        <v>0.56999999999999995</v>
      </c>
      <c r="M8" t="s">
        <v>26</v>
      </c>
    </row>
    <row r="9" spans="1:15" x14ac:dyDescent="0.3">
      <c r="A9">
        <v>7.7994427000000005E-2</v>
      </c>
      <c r="B9">
        <v>-0.78169999999999995</v>
      </c>
      <c r="C9">
        <f t="shared" si="0"/>
        <v>0.78169999999999995</v>
      </c>
      <c r="E9">
        <f t="shared" si="1"/>
        <v>0.15598885400000001</v>
      </c>
      <c r="F9">
        <f t="shared" si="2"/>
        <v>0.16713091499999999</v>
      </c>
      <c r="G9">
        <f t="shared" si="3"/>
        <v>0.75180000000000002</v>
      </c>
      <c r="H9">
        <f t="shared" si="4"/>
        <v>0.74560000000000004</v>
      </c>
      <c r="I9">
        <f t="shared" si="5"/>
        <v>0.74956799775194194</v>
      </c>
      <c r="K9">
        <v>0.16</v>
      </c>
      <c r="L9">
        <v>0.45</v>
      </c>
      <c r="M9">
        <f>MIN(L2:L201)</f>
        <v>-0.84</v>
      </c>
    </row>
    <row r="10" spans="1:15" x14ac:dyDescent="0.3">
      <c r="A10">
        <v>8.9136488E-2</v>
      </c>
      <c r="B10">
        <v>-0.77910000000000001</v>
      </c>
      <c r="C10">
        <f t="shared" si="0"/>
        <v>0.77910000000000001</v>
      </c>
      <c r="E10">
        <f t="shared" si="1"/>
        <v>0.178272976</v>
      </c>
      <c r="F10">
        <f t="shared" si="2"/>
        <v>0.18941503700000001</v>
      </c>
      <c r="G10">
        <f t="shared" si="3"/>
        <v>0.7389</v>
      </c>
      <c r="H10">
        <f t="shared" si="4"/>
        <v>0.7319</v>
      </c>
      <c r="I10">
        <f t="shared" si="5"/>
        <v>0.73781499714460363</v>
      </c>
      <c r="K10">
        <v>0.18</v>
      </c>
      <c r="L10">
        <v>1.19</v>
      </c>
    </row>
    <row r="11" spans="1:15" x14ac:dyDescent="0.3">
      <c r="A11">
        <v>0.10027854899999999</v>
      </c>
      <c r="B11">
        <v>-0.77590000000000003</v>
      </c>
      <c r="C11">
        <f t="shared" si="0"/>
        <v>0.77590000000000003</v>
      </c>
      <c r="E11">
        <f t="shared" si="1"/>
        <v>0.18941503700000001</v>
      </c>
      <c r="F11">
        <f t="shared" si="2"/>
        <v>0.20055709799999999</v>
      </c>
      <c r="G11">
        <f t="shared" si="3"/>
        <v>0.7319</v>
      </c>
      <c r="H11">
        <f t="shared" si="4"/>
        <v>0.72460000000000002</v>
      </c>
      <c r="I11">
        <f t="shared" si="5"/>
        <v>0.72496499669136627</v>
      </c>
      <c r="K11">
        <v>0.19999999999999998</v>
      </c>
      <c r="L11">
        <v>0.64</v>
      </c>
    </row>
    <row r="12" spans="1:15" x14ac:dyDescent="0.3">
      <c r="A12">
        <v>0.11142061</v>
      </c>
      <c r="B12">
        <v>-0.77200000000000002</v>
      </c>
      <c r="C12">
        <f t="shared" si="0"/>
        <v>0.77200000000000002</v>
      </c>
      <c r="E12">
        <f t="shared" si="1"/>
        <v>0.211699159</v>
      </c>
      <c r="F12">
        <f t="shared" si="2"/>
        <v>0.22284122000000001</v>
      </c>
      <c r="G12">
        <f t="shared" si="3"/>
        <v>0.71689999999999998</v>
      </c>
      <c r="H12">
        <f t="shared" si="4"/>
        <v>0.70889999999999997</v>
      </c>
      <c r="I12">
        <f t="shared" si="5"/>
        <v>0.71093999601150992</v>
      </c>
      <c r="K12">
        <v>0.21999999999999997</v>
      </c>
      <c r="L12">
        <v>0.28999999999999998</v>
      </c>
    </row>
    <row r="13" spans="1:15" x14ac:dyDescent="0.3">
      <c r="A13">
        <v>0.122562671</v>
      </c>
      <c r="B13">
        <v>-0.76770000000000005</v>
      </c>
      <c r="C13">
        <f t="shared" si="0"/>
        <v>0.76770000000000005</v>
      </c>
      <c r="E13">
        <f t="shared" si="1"/>
        <v>0.23398328099999999</v>
      </c>
      <c r="F13">
        <f t="shared" si="2"/>
        <v>0.245125342</v>
      </c>
      <c r="G13">
        <f t="shared" si="3"/>
        <v>0.7006</v>
      </c>
      <c r="H13">
        <f t="shared" si="4"/>
        <v>0.69210000000000005</v>
      </c>
      <c r="I13">
        <f t="shared" si="5"/>
        <v>0.69600999537697739</v>
      </c>
      <c r="K13">
        <v>0.23999999999999996</v>
      </c>
      <c r="L13">
        <v>0.08</v>
      </c>
    </row>
    <row r="14" spans="1:15" x14ac:dyDescent="0.3">
      <c r="A14">
        <v>0.13370473199999999</v>
      </c>
      <c r="B14">
        <v>-0.76290000000000002</v>
      </c>
      <c r="C14">
        <f t="shared" si="0"/>
        <v>0.76290000000000002</v>
      </c>
      <c r="E14">
        <f t="shared" si="1"/>
        <v>0.256267403</v>
      </c>
      <c r="F14">
        <f t="shared" si="2"/>
        <v>0.26740946399999999</v>
      </c>
      <c r="G14">
        <f t="shared" si="3"/>
        <v>0.68330000000000002</v>
      </c>
      <c r="H14">
        <f t="shared" si="4"/>
        <v>0.6744</v>
      </c>
      <c r="I14">
        <f t="shared" si="5"/>
        <v>0.680318494756042</v>
      </c>
      <c r="K14">
        <v>0.25999999999999995</v>
      </c>
      <c r="L14">
        <v>1.26</v>
      </c>
    </row>
    <row r="15" spans="1:15" x14ac:dyDescent="0.3">
      <c r="A15">
        <v>0.144846793</v>
      </c>
      <c r="B15">
        <v>-0.75749999999999995</v>
      </c>
      <c r="C15">
        <f t="shared" si="0"/>
        <v>0.75749999999999995</v>
      </c>
      <c r="E15">
        <f t="shared" si="1"/>
        <v>0.27855152500000002</v>
      </c>
      <c r="F15">
        <f t="shared" si="2"/>
        <v>0.289693586</v>
      </c>
      <c r="G15">
        <f t="shared" si="3"/>
        <v>0.66520000000000001</v>
      </c>
      <c r="H15">
        <f t="shared" si="4"/>
        <v>0.65590000000000004</v>
      </c>
      <c r="I15">
        <f t="shared" si="5"/>
        <v>0.66399099409884754</v>
      </c>
      <c r="K15">
        <v>0.27999999999999997</v>
      </c>
      <c r="L15">
        <v>0.17</v>
      </c>
    </row>
    <row r="16" spans="1:15" x14ac:dyDescent="0.3">
      <c r="A16">
        <v>0.15598885400000001</v>
      </c>
      <c r="B16">
        <v>-0.75180000000000002</v>
      </c>
      <c r="C16">
        <f t="shared" si="0"/>
        <v>0.75180000000000002</v>
      </c>
      <c r="E16">
        <f t="shared" si="1"/>
        <v>0.289693586</v>
      </c>
      <c r="F16">
        <f t="shared" si="2"/>
        <v>0.30083564699999998</v>
      </c>
      <c r="G16">
        <f t="shared" si="3"/>
        <v>0.65590000000000004</v>
      </c>
      <c r="H16">
        <f t="shared" si="4"/>
        <v>0.64649999999999996</v>
      </c>
      <c r="I16">
        <f t="shared" si="5"/>
        <v>0.64720499360935113</v>
      </c>
      <c r="K16">
        <v>0.3</v>
      </c>
      <c r="L16">
        <v>0.74</v>
      </c>
    </row>
    <row r="17" spans="1:12" x14ac:dyDescent="0.3">
      <c r="A17">
        <v>0.16713091499999999</v>
      </c>
      <c r="B17">
        <v>-0.74560000000000004</v>
      </c>
      <c r="C17">
        <f t="shared" si="0"/>
        <v>0.74560000000000004</v>
      </c>
      <c r="E17">
        <f t="shared" si="1"/>
        <v>0.31197770800000002</v>
      </c>
      <c r="F17">
        <f t="shared" si="2"/>
        <v>0.323119769</v>
      </c>
      <c r="G17">
        <f t="shared" si="3"/>
        <v>0.63690000000000002</v>
      </c>
      <c r="H17">
        <f t="shared" si="4"/>
        <v>0.62719999999999998</v>
      </c>
      <c r="I17">
        <f t="shared" si="5"/>
        <v>0.62991599296575373</v>
      </c>
      <c r="K17">
        <v>0.32</v>
      </c>
      <c r="L17">
        <v>0.08</v>
      </c>
    </row>
    <row r="18" spans="1:12" x14ac:dyDescent="0.3">
      <c r="A18">
        <v>0.178272976</v>
      </c>
      <c r="B18">
        <v>-0.7389</v>
      </c>
      <c r="C18">
        <f t="shared" si="0"/>
        <v>0.7389</v>
      </c>
      <c r="E18">
        <f t="shared" si="1"/>
        <v>0.33426182999999998</v>
      </c>
      <c r="F18">
        <f t="shared" si="2"/>
        <v>0.34540389100000002</v>
      </c>
      <c r="G18">
        <f t="shared" si="3"/>
        <v>0.61750000000000005</v>
      </c>
      <c r="H18">
        <f t="shared" si="4"/>
        <v>0.60770000000000002</v>
      </c>
      <c r="I18">
        <f t="shared" si="5"/>
        <v>0.61245299244906304</v>
      </c>
      <c r="K18">
        <v>0.34</v>
      </c>
      <c r="L18">
        <v>1</v>
      </c>
    </row>
    <row r="19" spans="1:12" x14ac:dyDescent="0.3">
      <c r="A19">
        <v>0.18941503700000001</v>
      </c>
      <c r="B19">
        <v>-0.7319</v>
      </c>
      <c r="C19">
        <f t="shared" si="0"/>
        <v>0.7319</v>
      </c>
      <c r="E19">
        <f t="shared" si="1"/>
        <v>0.356545952</v>
      </c>
      <c r="F19">
        <f t="shared" si="2"/>
        <v>0.36768801299999998</v>
      </c>
      <c r="G19">
        <f t="shared" si="3"/>
        <v>0.5978</v>
      </c>
      <c r="H19">
        <f t="shared" si="4"/>
        <v>0.58789999999999998</v>
      </c>
      <c r="I19">
        <f t="shared" si="5"/>
        <v>0.59473099192330747</v>
      </c>
      <c r="K19">
        <v>0.36000000000000004</v>
      </c>
      <c r="L19">
        <v>0.48</v>
      </c>
    </row>
    <row r="20" spans="1:12" x14ac:dyDescent="0.3">
      <c r="A20">
        <v>0.20055709799999999</v>
      </c>
      <c r="B20">
        <v>-0.72460000000000002</v>
      </c>
      <c r="C20">
        <f t="shared" si="0"/>
        <v>0.72460000000000002</v>
      </c>
      <c r="E20">
        <f t="shared" si="1"/>
        <v>0.37883007400000002</v>
      </c>
      <c r="F20">
        <f t="shared" si="2"/>
        <v>0.389972135</v>
      </c>
      <c r="G20">
        <f t="shared" si="3"/>
        <v>0.57799999999999996</v>
      </c>
      <c r="H20">
        <f t="shared" si="4"/>
        <v>0.56810000000000005</v>
      </c>
      <c r="I20">
        <f t="shared" si="5"/>
        <v>0.57696049147460227</v>
      </c>
      <c r="K20">
        <v>0.38000000000000006</v>
      </c>
      <c r="L20">
        <v>1.4</v>
      </c>
    </row>
    <row r="21" spans="1:12" x14ac:dyDescent="0.3">
      <c r="A21">
        <v>0.211699159</v>
      </c>
      <c r="B21">
        <v>-0.71689999999999998</v>
      </c>
      <c r="C21">
        <f t="shared" si="0"/>
        <v>0.71689999999999998</v>
      </c>
      <c r="E21">
        <f t="shared" si="1"/>
        <v>0.389972135</v>
      </c>
      <c r="F21">
        <f t="shared" si="2"/>
        <v>0.40111419599999998</v>
      </c>
      <c r="G21">
        <f t="shared" si="3"/>
        <v>0.56810000000000005</v>
      </c>
      <c r="H21">
        <f t="shared" si="4"/>
        <v>0.55820000000000003</v>
      </c>
      <c r="I21">
        <f t="shared" si="5"/>
        <v>0.56007851604833248</v>
      </c>
      <c r="K21">
        <v>0.39900000000000008</v>
      </c>
      <c r="L21">
        <v>0.52</v>
      </c>
    </row>
    <row r="22" spans="1:12" x14ac:dyDescent="0.3">
      <c r="A22">
        <v>0.22284122000000001</v>
      </c>
      <c r="B22">
        <v>-0.70889999999999997</v>
      </c>
      <c r="C22">
        <f t="shared" si="0"/>
        <v>0.70889999999999997</v>
      </c>
      <c r="E22">
        <f t="shared" si="1"/>
        <v>0.41225625700000001</v>
      </c>
      <c r="F22">
        <f t="shared" si="2"/>
        <v>0.423398318</v>
      </c>
      <c r="G22">
        <f t="shared" si="3"/>
        <v>0.54830000000000001</v>
      </c>
      <c r="H22">
        <f t="shared" si="4"/>
        <v>0.53849999999999998</v>
      </c>
      <c r="I22">
        <f t="shared" si="5"/>
        <v>0.54148899067237188</v>
      </c>
      <c r="K22">
        <v>0.4200000000000001</v>
      </c>
      <c r="L22">
        <v>0.6</v>
      </c>
    </row>
    <row r="23" spans="1:12" x14ac:dyDescent="0.3">
      <c r="A23">
        <v>0.23398328099999999</v>
      </c>
      <c r="B23">
        <v>-0.7006</v>
      </c>
      <c r="C23">
        <f t="shared" si="0"/>
        <v>0.7006</v>
      </c>
      <c r="E23">
        <f t="shared" si="1"/>
        <v>0.43454037899999998</v>
      </c>
      <c r="F23">
        <f t="shared" si="2"/>
        <v>0.44568244000000001</v>
      </c>
      <c r="G23">
        <f t="shared" si="3"/>
        <v>0.52859999999999996</v>
      </c>
      <c r="H23">
        <f t="shared" si="4"/>
        <v>0.51890000000000003</v>
      </c>
      <c r="I23">
        <f t="shared" si="5"/>
        <v>0.52384699032791138</v>
      </c>
      <c r="K23">
        <v>0.44000000000000011</v>
      </c>
      <c r="L23">
        <v>0.74</v>
      </c>
    </row>
    <row r="24" spans="1:12" x14ac:dyDescent="0.3">
      <c r="A24">
        <v>0.245125342</v>
      </c>
      <c r="B24">
        <v>-0.69210000000000005</v>
      </c>
      <c r="C24">
        <f t="shared" si="0"/>
        <v>0.69210000000000005</v>
      </c>
      <c r="E24">
        <f t="shared" si="1"/>
        <v>0.45682450099999999</v>
      </c>
      <c r="F24">
        <f t="shared" si="2"/>
        <v>0.46796656199999997</v>
      </c>
      <c r="G24">
        <f t="shared" si="3"/>
        <v>0.50919999999999999</v>
      </c>
      <c r="H24">
        <f t="shared" si="4"/>
        <v>0.4995</v>
      </c>
      <c r="I24">
        <f t="shared" si="5"/>
        <v>0.50643548988827103</v>
      </c>
      <c r="K24">
        <v>0.46000000000000013</v>
      </c>
      <c r="L24">
        <v>0.95</v>
      </c>
    </row>
    <row r="25" spans="1:12" x14ac:dyDescent="0.3">
      <c r="A25">
        <v>0.256267403</v>
      </c>
      <c r="B25">
        <v>-0.68330000000000002</v>
      </c>
      <c r="C25">
        <f t="shared" si="0"/>
        <v>0.68330000000000002</v>
      </c>
      <c r="E25">
        <f t="shared" si="1"/>
        <v>0.47910862300000001</v>
      </c>
      <c r="F25">
        <f t="shared" si="2"/>
        <v>0.49025068399999999</v>
      </c>
      <c r="G25">
        <f t="shared" si="3"/>
        <v>0.4899</v>
      </c>
      <c r="H25">
        <f t="shared" si="4"/>
        <v>0.48049999999999998</v>
      </c>
      <c r="I25">
        <f t="shared" si="5"/>
        <v>0.4891479897749616</v>
      </c>
      <c r="K25">
        <v>0.48000000000000015</v>
      </c>
      <c r="L25">
        <v>0.2</v>
      </c>
    </row>
    <row r="26" spans="1:12" x14ac:dyDescent="0.3">
      <c r="A26">
        <v>0.26740946399999999</v>
      </c>
      <c r="B26">
        <v>-0.6744</v>
      </c>
      <c r="C26">
        <f t="shared" si="0"/>
        <v>0.6744</v>
      </c>
      <c r="E26">
        <f t="shared" si="1"/>
        <v>0.49025068399999999</v>
      </c>
      <c r="F26">
        <f t="shared" si="2"/>
        <v>0.50139274499999997</v>
      </c>
      <c r="G26">
        <f t="shared" si="3"/>
        <v>0.48049999999999998</v>
      </c>
      <c r="H26">
        <f t="shared" si="4"/>
        <v>0.47099999999999997</v>
      </c>
      <c r="I26">
        <f t="shared" si="5"/>
        <v>0.47218748923560899</v>
      </c>
      <c r="K26">
        <v>0.50000000000000011</v>
      </c>
      <c r="L26">
        <v>0.76</v>
      </c>
    </row>
    <row r="27" spans="1:12" x14ac:dyDescent="0.3">
      <c r="A27">
        <v>0.27855152500000002</v>
      </c>
      <c r="B27">
        <v>-0.66520000000000001</v>
      </c>
      <c r="C27">
        <f t="shared" si="0"/>
        <v>0.66520000000000001</v>
      </c>
      <c r="E27">
        <f t="shared" si="1"/>
        <v>0.51253480600000001</v>
      </c>
      <c r="F27">
        <f t="shared" si="2"/>
        <v>0.52367686700000005</v>
      </c>
      <c r="G27">
        <f t="shared" si="3"/>
        <v>0.4617</v>
      </c>
      <c r="H27">
        <f t="shared" si="4"/>
        <v>0.45250000000000001</v>
      </c>
      <c r="I27">
        <f t="shared" si="5"/>
        <v>0.45553598915855864</v>
      </c>
      <c r="K27">
        <v>0.52000000000000013</v>
      </c>
      <c r="L27">
        <v>0.7</v>
      </c>
    </row>
    <row r="28" spans="1:12" x14ac:dyDescent="0.3">
      <c r="A28">
        <v>0.289693586</v>
      </c>
      <c r="B28">
        <v>-0.65590000000000004</v>
      </c>
      <c r="C28">
        <f t="shared" si="0"/>
        <v>0.65590000000000004</v>
      </c>
      <c r="E28">
        <f t="shared" si="1"/>
        <v>0.53481892799999997</v>
      </c>
      <c r="F28">
        <f t="shared" si="2"/>
        <v>0.54596098900000001</v>
      </c>
      <c r="G28">
        <f t="shared" si="3"/>
        <v>0.44340000000000002</v>
      </c>
      <c r="H28">
        <f t="shared" si="4"/>
        <v>0.43430000000000002</v>
      </c>
      <c r="I28">
        <f t="shared" si="5"/>
        <v>0.43916848886395432</v>
      </c>
      <c r="K28">
        <v>0.54000000000000015</v>
      </c>
      <c r="L28">
        <v>1.32</v>
      </c>
    </row>
    <row r="29" spans="1:12" x14ac:dyDescent="0.3">
      <c r="A29">
        <v>0.30083564699999998</v>
      </c>
      <c r="B29">
        <v>-0.64649999999999996</v>
      </c>
      <c r="C29">
        <f t="shared" si="0"/>
        <v>0.64649999999999996</v>
      </c>
      <c r="E29">
        <f t="shared" si="1"/>
        <v>0.55710305000000004</v>
      </c>
      <c r="F29">
        <f t="shared" si="2"/>
        <v>0.56824511099999997</v>
      </c>
      <c r="G29">
        <f t="shared" si="3"/>
        <v>0.4254</v>
      </c>
      <c r="H29">
        <f t="shared" si="4"/>
        <v>0.41660000000000003</v>
      </c>
      <c r="I29">
        <f t="shared" si="5"/>
        <v>0.42311198883222761</v>
      </c>
      <c r="K29">
        <v>0.56000000000000016</v>
      </c>
      <c r="L29">
        <v>0.68</v>
      </c>
    </row>
    <row r="30" spans="1:12" x14ac:dyDescent="0.3">
      <c r="A30">
        <v>0.31197770800000002</v>
      </c>
      <c r="B30">
        <v>-0.63690000000000002</v>
      </c>
      <c r="C30">
        <f t="shared" si="0"/>
        <v>0.63690000000000002</v>
      </c>
      <c r="E30">
        <f t="shared" si="1"/>
        <v>0.57938717200000001</v>
      </c>
      <c r="F30">
        <f t="shared" si="2"/>
        <v>0.59052923300000004</v>
      </c>
      <c r="G30">
        <f t="shared" si="3"/>
        <v>0.40789999999999998</v>
      </c>
      <c r="H30">
        <f t="shared" si="4"/>
        <v>0.39929999999999999</v>
      </c>
      <c r="I30">
        <f t="shared" si="5"/>
        <v>0.40742698869625626</v>
      </c>
      <c r="K30">
        <v>0.58000000000000018</v>
      </c>
      <c r="L30">
        <v>0.76</v>
      </c>
    </row>
    <row r="31" spans="1:12" x14ac:dyDescent="0.3">
      <c r="A31">
        <v>0.323119769</v>
      </c>
      <c r="B31">
        <v>-0.62719999999999998</v>
      </c>
      <c r="C31">
        <f t="shared" si="0"/>
        <v>0.62719999999999998</v>
      </c>
      <c r="E31">
        <f t="shared" si="1"/>
        <v>0.59052923300000004</v>
      </c>
      <c r="F31">
        <f t="shared" si="2"/>
        <v>0.60167129399999997</v>
      </c>
      <c r="G31">
        <f t="shared" si="3"/>
        <v>0.39929999999999999</v>
      </c>
      <c r="H31">
        <f t="shared" si="4"/>
        <v>0.39079999999999998</v>
      </c>
      <c r="I31">
        <f t="shared" si="5"/>
        <v>0.39207498844244326</v>
      </c>
      <c r="K31">
        <v>0.6000000000000002</v>
      </c>
      <c r="L31">
        <v>0.4</v>
      </c>
    </row>
    <row r="32" spans="1:12" x14ac:dyDescent="0.3">
      <c r="A32">
        <v>0.33426182999999998</v>
      </c>
      <c r="B32">
        <v>-0.61750000000000005</v>
      </c>
      <c r="C32">
        <f t="shared" si="0"/>
        <v>0.61750000000000005</v>
      </c>
      <c r="E32">
        <f t="shared" si="1"/>
        <v>0.612813355</v>
      </c>
      <c r="F32">
        <f t="shared" si="2"/>
        <v>0.62395541600000004</v>
      </c>
      <c r="G32">
        <f t="shared" si="3"/>
        <v>0.38240000000000002</v>
      </c>
      <c r="H32">
        <f t="shared" si="4"/>
        <v>0.37409999999999999</v>
      </c>
      <c r="I32">
        <f t="shared" si="5"/>
        <v>0.37704648833819859</v>
      </c>
      <c r="K32">
        <v>0.62000000000000022</v>
      </c>
      <c r="L32">
        <v>0.63</v>
      </c>
    </row>
    <row r="33" spans="1:12" x14ac:dyDescent="0.3">
      <c r="A33">
        <v>0.34540389100000002</v>
      </c>
      <c r="B33">
        <v>-0.60770000000000002</v>
      </c>
      <c r="C33">
        <f t="shared" si="0"/>
        <v>0.60770000000000002</v>
      </c>
      <c r="E33">
        <f t="shared" si="1"/>
        <v>0.63509747699999997</v>
      </c>
      <c r="F33">
        <f t="shared" si="2"/>
        <v>0.646239538</v>
      </c>
      <c r="G33">
        <f t="shared" si="3"/>
        <v>0.3659</v>
      </c>
      <c r="H33">
        <f t="shared" si="4"/>
        <v>0.35780000000000001</v>
      </c>
      <c r="I33">
        <f t="shared" si="5"/>
        <v>0.36233598825208357</v>
      </c>
      <c r="K33">
        <v>0.64000000000000024</v>
      </c>
      <c r="L33">
        <v>0.05</v>
      </c>
    </row>
    <row r="34" spans="1:12" x14ac:dyDescent="0.3">
      <c r="A34">
        <v>0.356545952</v>
      </c>
      <c r="B34">
        <v>-0.5978</v>
      </c>
      <c r="C34">
        <f t="shared" si="0"/>
        <v>0.5978</v>
      </c>
      <c r="E34">
        <f t="shared" si="1"/>
        <v>0.65738159900000004</v>
      </c>
      <c r="F34">
        <f t="shared" si="2"/>
        <v>0.66852365999999996</v>
      </c>
      <c r="G34">
        <f t="shared" si="3"/>
        <v>0.34989999999999999</v>
      </c>
      <c r="H34">
        <f t="shared" si="4"/>
        <v>0.34200000000000003</v>
      </c>
      <c r="I34">
        <f t="shared" si="5"/>
        <v>0.34804348818409792</v>
      </c>
      <c r="K34">
        <v>0.66000000000000025</v>
      </c>
      <c r="L34">
        <v>0.73</v>
      </c>
    </row>
    <row r="35" spans="1:12" x14ac:dyDescent="0.3">
      <c r="A35">
        <v>0.36768801299999998</v>
      </c>
      <c r="B35">
        <v>-0.58789999999999998</v>
      </c>
      <c r="C35">
        <f t="shared" si="0"/>
        <v>0.58789999999999998</v>
      </c>
      <c r="E35">
        <f t="shared" si="1"/>
        <v>0.679665721</v>
      </c>
      <c r="F35">
        <f t="shared" si="2"/>
        <v>0.69080778200000004</v>
      </c>
      <c r="G35">
        <f t="shared" si="3"/>
        <v>0.33429999999999999</v>
      </c>
      <c r="H35">
        <f t="shared" si="4"/>
        <v>0.32669999999999999</v>
      </c>
      <c r="I35">
        <f t="shared" si="5"/>
        <v>0.33407198828834256</v>
      </c>
      <c r="K35">
        <v>0.68000000000000027</v>
      </c>
      <c r="L35">
        <v>0.36</v>
      </c>
    </row>
    <row r="36" spans="1:12" x14ac:dyDescent="0.3">
      <c r="A36">
        <v>0.37883007400000002</v>
      </c>
      <c r="B36">
        <v>-0.57799999999999996</v>
      </c>
      <c r="C36">
        <f t="shared" si="0"/>
        <v>0.57799999999999996</v>
      </c>
      <c r="E36">
        <f t="shared" si="1"/>
        <v>0.69080778200000004</v>
      </c>
      <c r="F36">
        <f t="shared" si="2"/>
        <v>0.70194984299999996</v>
      </c>
      <c r="G36">
        <f t="shared" si="3"/>
        <v>0.32669999999999999</v>
      </c>
      <c r="H36">
        <f t="shared" si="4"/>
        <v>0.31919999999999998</v>
      </c>
      <c r="I36">
        <f t="shared" si="5"/>
        <v>0.32118561311951149</v>
      </c>
      <c r="K36">
        <v>0.69900000000000029</v>
      </c>
      <c r="L36">
        <v>0.73</v>
      </c>
    </row>
    <row r="37" spans="1:12" x14ac:dyDescent="0.3">
      <c r="A37">
        <v>0.389972135</v>
      </c>
      <c r="B37">
        <v>-0.56810000000000005</v>
      </c>
      <c r="C37">
        <f t="shared" si="0"/>
        <v>0.56810000000000005</v>
      </c>
      <c r="E37">
        <f t="shared" si="1"/>
        <v>0.713091904</v>
      </c>
      <c r="F37">
        <f t="shared" si="2"/>
        <v>0.72423396500000004</v>
      </c>
      <c r="G37">
        <f t="shared" si="3"/>
        <v>0.31180000000000002</v>
      </c>
      <c r="H37">
        <f t="shared" si="4"/>
        <v>0.30449999999999999</v>
      </c>
      <c r="I37">
        <f t="shared" si="5"/>
        <v>0.30727398808891809</v>
      </c>
      <c r="K37">
        <v>0.72000000000000031</v>
      </c>
      <c r="L37">
        <v>0.14000000000000001</v>
      </c>
    </row>
    <row r="38" spans="1:12" x14ac:dyDescent="0.3">
      <c r="A38">
        <v>0.40111419599999998</v>
      </c>
      <c r="B38">
        <v>-0.55820000000000003</v>
      </c>
      <c r="C38">
        <f t="shared" si="0"/>
        <v>0.55820000000000003</v>
      </c>
      <c r="E38">
        <f t="shared" si="1"/>
        <v>0.73537602599999996</v>
      </c>
      <c r="F38">
        <f t="shared" si="2"/>
        <v>0.746518087</v>
      </c>
      <c r="G38">
        <f t="shared" si="3"/>
        <v>0.29730000000000001</v>
      </c>
      <c r="H38">
        <f t="shared" si="4"/>
        <v>0.29010000000000002</v>
      </c>
      <c r="I38">
        <f t="shared" si="5"/>
        <v>0.29495818794206907</v>
      </c>
      <c r="K38">
        <v>0.73900000000000032</v>
      </c>
      <c r="L38">
        <v>0.64</v>
      </c>
    </row>
    <row r="39" spans="1:12" x14ac:dyDescent="0.3">
      <c r="A39">
        <v>0.41225625700000001</v>
      </c>
      <c r="B39">
        <v>-0.54830000000000001</v>
      </c>
      <c r="C39">
        <f t="shared" si="0"/>
        <v>0.54830000000000001</v>
      </c>
      <c r="E39">
        <f t="shared" si="1"/>
        <v>0.75766014800000003</v>
      </c>
      <c r="F39">
        <f t="shared" si="2"/>
        <v>0.76880220899999996</v>
      </c>
      <c r="G39">
        <f t="shared" si="3"/>
        <v>0.28310000000000002</v>
      </c>
      <c r="H39">
        <f t="shared" si="4"/>
        <v>0.2762</v>
      </c>
      <c r="I39">
        <f t="shared" si="5"/>
        <v>0.28165098811611233</v>
      </c>
      <c r="K39">
        <v>0.76000000000000034</v>
      </c>
      <c r="L39">
        <v>-0.24</v>
      </c>
    </row>
    <row r="40" spans="1:12" x14ac:dyDescent="0.3">
      <c r="A40">
        <v>0.423398318</v>
      </c>
      <c r="B40">
        <v>-0.53849999999999998</v>
      </c>
      <c r="C40">
        <f t="shared" si="0"/>
        <v>0.53849999999999998</v>
      </c>
      <c r="E40">
        <f t="shared" si="1"/>
        <v>0.77994427</v>
      </c>
      <c r="F40">
        <f t="shared" si="2"/>
        <v>0.79108633100000003</v>
      </c>
      <c r="G40">
        <f t="shared" si="3"/>
        <v>0.26939999999999997</v>
      </c>
      <c r="H40">
        <f t="shared" si="4"/>
        <v>0.2626</v>
      </c>
      <c r="I40">
        <f t="shared" si="5"/>
        <v>0.26936598798014094</v>
      </c>
      <c r="K40">
        <v>0.78000000000000036</v>
      </c>
      <c r="L40">
        <v>0.8</v>
      </c>
    </row>
    <row r="41" spans="1:12" x14ac:dyDescent="0.3">
      <c r="A41">
        <v>0.43454037899999998</v>
      </c>
      <c r="B41">
        <v>-0.52859999999999996</v>
      </c>
      <c r="C41">
        <f t="shared" si="0"/>
        <v>0.52859999999999996</v>
      </c>
      <c r="E41">
        <f t="shared" si="1"/>
        <v>0.79108633100000003</v>
      </c>
      <c r="F41">
        <f t="shared" si="2"/>
        <v>0.80222839199999996</v>
      </c>
      <c r="G41">
        <f t="shared" si="3"/>
        <v>0.2626</v>
      </c>
      <c r="H41">
        <f t="shared" si="4"/>
        <v>0.25600000000000001</v>
      </c>
      <c r="I41">
        <f t="shared" si="5"/>
        <v>0.25731998803452943</v>
      </c>
      <c r="K41">
        <v>0.80000000000000038</v>
      </c>
      <c r="L41">
        <v>-0.56000000000000005</v>
      </c>
    </row>
    <row r="42" spans="1:12" x14ac:dyDescent="0.3">
      <c r="A42">
        <v>0.44568244000000001</v>
      </c>
      <c r="B42">
        <v>-0.51890000000000003</v>
      </c>
      <c r="C42">
        <f t="shared" si="0"/>
        <v>0.51890000000000003</v>
      </c>
      <c r="E42">
        <f t="shared" si="1"/>
        <v>0.81337045299999999</v>
      </c>
      <c r="F42">
        <f t="shared" si="2"/>
        <v>0.82451251400000003</v>
      </c>
      <c r="G42">
        <f t="shared" si="3"/>
        <v>0.24940000000000001</v>
      </c>
      <c r="H42">
        <f t="shared" si="4"/>
        <v>0.24299999999999999</v>
      </c>
      <c r="I42">
        <f t="shared" si="5"/>
        <v>0.24559198810704747</v>
      </c>
      <c r="K42">
        <v>0.8200000000000004</v>
      </c>
      <c r="L42">
        <v>0.31</v>
      </c>
    </row>
    <row r="43" spans="1:12" x14ac:dyDescent="0.3">
      <c r="A43">
        <v>0.45682450099999999</v>
      </c>
      <c r="B43">
        <v>-0.50919999999999999</v>
      </c>
      <c r="C43">
        <f t="shared" si="0"/>
        <v>0.50919999999999999</v>
      </c>
      <c r="E43">
        <f t="shared" si="1"/>
        <v>0.83565457499999996</v>
      </c>
      <c r="F43">
        <f t="shared" si="2"/>
        <v>0.84679663599999999</v>
      </c>
      <c r="G43">
        <f t="shared" si="3"/>
        <v>0.2366</v>
      </c>
      <c r="H43">
        <f t="shared" si="4"/>
        <v>0.2303</v>
      </c>
      <c r="I43">
        <f t="shared" si="5"/>
        <v>0.23414298800733524</v>
      </c>
      <c r="K43">
        <v>0.84000000000000041</v>
      </c>
      <c r="L43">
        <v>-0.44</v>
      </c>
    </row>
    <row r="44" spans="1:12" x14ac:dyDescent="0.3">
      <c r="A44">
        <v>0.46796656199999997</v>
      </c>
      <c r="B44">
        <v>-0.4995</v>
      </c>
      <c r="C44">
        <f t="shared" si="0"/>
        <v>0.4995</v>
      </c>
      <c r="E44">
        <f t="shared" si="1"/>
        <v>0.85793869700000003</v>
      </c>
      <c r="F44">
        <f t="shared" si="2"/>
        <v>0.86908075799999995</v>
      </c>
      <c r="G44">
        <f t="shared" si="3"/>
        <v>0.224</v>
      </c>
      <c r="H44">
        <f t="shared" si="4"/>
        <v>0.21779999999999999</v>
      </c>
      <c r="I44">
        <f t="shared" si="5"/>
        <v>0.22285298791668773</v>
      </c>
      <c r="K44">
        <v>0.86000000000000043</v>
      </c>
      <c r="L44">
        <v>0.66</v>
      </c>
    </row>
    <row r="45" spans="1:12" x14ac:dyDescent="0.3">
      <c r="A45">
        <v>0.47910862300000001</v>
      </c>
      <c r="B45">
        <v>-0.4899</v>
      </c>
      <c r="C45">
        <f t="shared" si="0"/>
        <v>0.4899</v>
      </c>
      <c r="E45">
        <f t="shared" si="1"/>
        <v>0.86908075799999995</v>
      </c>
      <c r="F45">
        <f t="shared" si="2"/>
        <v>0.88022281899999999</v>
      </c>
      <c r="G45">
        <f t="shared" si="3"/>
        <v>0.21779999999999999</v>
      </c>
      <c r="H45">
        <f t="shared" si="4"/>
        <v>0.2117</v>
      </c>
      <c r="I45">
        <f t="shared" si="5"/>
        <v>0.21182198783510492</v>
      </c>
      <c r="K45">
        <v>0.88000000000000045</v>
      </c>
      <c r="L45">
        <v>-7.0000000000000007E-2</v>
      </c>
    </row>
    <row r="46" spans="1:12" x14ac:dyDescent="0.3">
      <c r="A46">
        <v>0.49025068399999999</v>
      </c>
      <c r="B46">
        <v>-0.48049999999999998</v>
      </c>
      <c r="C46">
        <f t="shared" si="0"/>
        <v>0.48049999999999998</v>
      </c>
      <c r="E46">
        <f t="shared" si="1"/>
        <v>0.89136488000000003</v>
      </c>
      <c r="F46">
        <f t="shared" si="2"/>
        <v>0.90250694099999995</v>
      </c>
      <c r="G46">
        <f t="shared" si="3"/>
        <v>0.20569999999999999</v>
      </c>
      <c r="H46">
        <f t="shared" si="4"/>
        <v>0.19969999999999999</v>
      </c>
      <c r="I46">
        <f t="shared" si="5"/>
        <v>0.20104998776258692</v>
      </c>
      <c r="K46">
        <v>0.90000000000000047</v>
      </c>
      <c r="L46">
        <v>0.56000000000000005</v>
      </c>
    </row>
    <row r="47" spans="1:12" x14ac:dyDescent="0.3">
      <c r="A47">
        <v>0.50139274499999997</v>
      </c>
      <c r="B47">
        <v>-0.47099999999999997</v>
      </c>
      <c r="C47">
        <f t="shared" si="0"/>
        <v>0.47099999999999997</v>
      </c>
      <c r="E47">
        <f t="shared" si="1"/>
        <v>0.91364900199999999</v>
      </c>
      <c r="F47">
        <f t="shared" si="2"/>
        <v>0.92479106300000002</v>
      </c>
      <c r="G47">
        <f t="shared" si="3"/>
        <v>0.1938</v>
      </c>
      <c r="H47">
        <f t="shared" si="4"/>
        <v>0.188</v>
      </c>
      <c r="I47">
        <f t="shared" si="5"/>
        <v>0.1904939879076229</v>
      </c>
      <c r="K47">
        <v>0.92000000000000048</v>
      </c>
      <c r="L47">
        <v>-0.1</v>
      </c>
    </row>
    <row r="48" spans="1:12" x14ac:dyDescent="0.3">
      <c r="A48">
        <v>0.51253480600000001</v>
      </c>
      <c r="B48">
        <v>-0.4617</v>
      </c>
      <c r="C48">
        <f t="shared" si="0"/>
        <v>0.4617</v>
      </c>
      <c r="E48">
        <f t="shared" si="1"/>
        <v>0.93593312399999995</v>
      </c>
      <c r="F48">
        <f t="shared" si="2"/>
        <v>0.94707518499999999</v>
      </c>
      <c r="G48">
        <f t="shared" si="3"/>
        <v>0.1822</v>
      </c>
      <c r="H48">
        <f t="shared" si="4"/>
        <v>0.17649999999999999</v>
      </c>
      <c r="I48">
        <f t="shared" si="5"/>
        <v>0.18011948785776682</v>
      </c>
      <c r="K48">
        <v>0.9400000000000005</v>
      </c>
      <c r="L48">
        <v>0.71</v>
      </c>
    </row>
    <row r="49" spans="1:12" x14ac:dyDescent="0.3">
      <c r="A49">
        <v>0.52367686700000005</v>
      </c>
      <c r="B49">
        <v>-0.45250000000000001</v>
      </c>
      <c r="C49">
        <f t="shared" si="0"/>
        <v>0.45250000000000001</v>
      </c>
      <c r="E49">
        <f t="shared" si="1"/>
        <v>0.95821724600000002</v>
      </c>
      <c r="F49">
        <f t="shared" si="2"/>
        <v>0.96935930699999995</v>
      </c>
      <c r="G49">
        <f t="shared" si="3"/>
        <v>0.1709</v>
      </c>
      <c r="H49">
        <f t="shared" si="4"/>
        <v>0.1653</v>
      </c>
      <c r="I49">
        <f t="shared" si="5"/>
        <v>0.17000398781697545</v>
      </c>
      <c r="K49">
        <v>0.96000000000000052</v>
      </c>
      <c r="L49">
        <v>-0.18</v>
      </c>
    </row>
    <row r="50" spans="1:12" x14ac:dyDescent="0.3">
      <c r="A50">
        <v>0.53481892799999997</v>
      </c>
      <c r="B50">
        <v>-0.44340000000000002</v>
      </c>
      <c r="C50">
        <f t="shared" si="0"/>
        <v>0.44340000000000002</v>
      </c>
      <c r="E50">
        <f t="shared" si="1"/>
        <v>0.96935930699999995</v>
      </c>
      <c r="F50">
        <f t="shared" si="2"/>
        <v>0.98050136799999998</v>
      </c>
      <c r="G50">
        <f t="shared" si="3"/>
        <v>0.1653</v>
      </c>
      <c r="H50">
        <f t="shared" si="4"/>
        <v>0.15970000000000001</v>
      </c>
      <c r="I50">
        <f t="shared" si="5"/>
        <v>0.15995198756316242</v>
      </c>
      <c r="K50">
        <v>0.98000000000000054</v>
      </c>
      <c r="L50">
        <v>0.44</v>
      </c>
    </row>
    <row r="51" spans="1:12" x14ac:dyDescent="0.3">
      <c r="A51">
        <v>0.54596098900000001</v>
      </c>
      <c r="B51">
        <v>-0.43430000000000002</v>
      </c>
      <c r="C51">
        <f t="shared" si="0"/>
        <v>0.43430000000000002</v>
      </c>
      <c r="E51">
        <f t="shared" si="1"/>
        <v>0.99164342900000002</v>
      </c>
      <c r="F51">
        <f t="shared" si="2"/>
        <v>1.0027854899999999</v>
      </c>
      <c r="G51">
        <f t="shared" si="3"/>
        <v>0.1542</v>
      </c>
      <c r="H51">
        <f t="shared" si="4"/>
        <v>0.1487</v>
      </c>
      <c r="I51">
        <f t="shared" si="5"/>
        <v>0.15007498753596815</v>
      </c>
      <c r="K51">
        <v>1.0000000000000004</v>
      </c>
      <c r="L51">
        <v>-0.32</v>
      </c>
    </row>
    <row r="52" spans="1:12" x14ac:dyDescent="0.3">
      <c r="A52">
        <v>0.55710305000000004</v>
      </c>
      <c r="B52">
        <v>-0.4254</v>
      </c>
      <c r="C52">
        <f t="shared" si="0"/>
        <v>0.4254</v>
      </c>
      <c r="E52">
        <f t="shared" si="1"/>
        <v>1.0139275510000001</v>
      </c>
      <c r="F52">
        <f t="shared" si="2"/>
        <v>1.025069612</v>
      </c>
      <c r="G52">
        <f t="shared" si="3"/>
        <v>0.14330000000000001</v>
      </c>
      <c r="H52">
        <f t="shared" si="4"/>
        <v>0.13789999999999999</v>
      </c>
      <c r="I52">
        <f t="shared" si="5"/>
        <v>0.14035698751783876</v>
      </c>
      <c r="K52">
        <v>1.0200000000000005</v>
      </c>
      <c r="L52">
        <v>0.38</v>
      </c>
    </row>
    <row r="53" spans="1:12" x14ac:dyDescent="0.3">
      <c r="A53">
        <v>0.56824511099999997</v>
      </c>
      <c r="B53">
        <v>-0.41660000000000003</v>
      </c>
      <c r="C53">
        <f t="shared" si="0"/>
        <v>0.41660000000000003</v>
      </c>
      <c r="E53">
        <f t="shared" si="1"/>
        <v>1.0362116729999999</v>
      </c>
      <c r="F53">
        <f t="shared" si="2"/>
        <v>1.0473537340000001</v>
      </c>
      <c r="G53">
        <f t="shared" si="3"/>
        <v>0.1326</v>
      </c>
      <c r="H53">
        <f t="shared" si="4"/>
        <v>0.12720000000000001</v>
      </c>
      <c r="I53">
        <f t="shared" si="5"/>
        <v>0.13124863728532798</v>
      </c>
      <c r="K53">
        <v>1.0390000000000004</v>
      </c>
      <c r="L53">
        <v>-0.08</v>
      </c>
    </row>
    <row r="54" spans="1:12" x14ac:dyDescent="0.3">
      <c r="A54">
        <v>0.57938717200000001</v>
      </c>
      <c r="B54">
        <v>-0.40789999999999998</v>
      </c>
      <c r="C54">
        <f t="shared" si="0"/>
        <v>0.40789999999999998</v>
      </c>
      <c r="E54">
        <f t="shared" si="1"/>
        <v>1.058495795</v>
      </c>
      <c r="F54">
        <f t="shared" si="2"/>
        <v>1.0696378559999999</v>
      </c>
      <c r="G54">
        <f t="shared" si="3"/>
        <v>0.122</v>
      </c>
      <c r="H54">
        <f t="shared" si="4"/>
        <v>0.1167</v>
      </c>
      <c r="I54">
        <f t="shared" si="5"/>
        <v>0.12128448726855812</v>
      </c>
      <c r="K54">
        <v>1.0600000000000003</v>
      </c>
      <c r="L54">
        <v>0.4</v>
      </c>
    </row>
    <row r="55" spans="1:12" x14ac:dyDescent="0.3">
      <c r="A55">
        <v>0.59052923300000004</v>
      </c>
      <c r="B55">
        <v>-0.39929999999999999</v>
      </c>
      <c r="C55">
        <f t="shared" si="0"/>
        <v>0.39929999999999999</v>
      </c>
      <c r="E55">
        <f t="shared" si="1"/>
        <v>1.0696378559999999</v>
      </c>
      <c r="F55">
        <f t="shared" si="2"/>
        <v>1.0807799170000001</v>
      </c>
      <c r="G55">
        <f t="shared" si="3"/>
        <v>0.1167</v>
      </c>
      <c r="H55">
        <f t="shared" si="4"/>
        <v>0.1115</v>
      </c>
      <c r="I55">
        <f t="shared" si="5"/>
        <v>0.11186398727309055</v>
      </c>
      <c r="K55">
        <v>1.0800000000000003</v>
      </c>
      <c r="L55">
        <v>0.19</v>
      </c>
    </row>
    <row r="56" spans="1:12" x14ac:dyDescent="0.3">
      <c r="A56">
        <v>0.60167129399999997</v>
      </c>
      <c r="B56">
        <v>-0.39079999999999998</v>
      </c>
      <c r="C56">
        <f t="shared" si="0"/>
        <v>0.39079999999999998</v>
      </c>
      <c r="E56">
        <f t="shared" si="1"/>
        <v>1.091921978</v>
      </c>
      <c r="F56">
        <f t="shared" si="2"/>
        <v>1.1030640389999999</v>
      </c>
      <c r="G56">
        <f t="shared" si="3"/>
        <v>0.10630000000000001</v>
      </c>
      <c r="H56">
        <f t="shared" si="4"/>
        <v>0.1011</v>
      </c>
      <c r="I56">
        <f t="shared" si="5"/>
        <v>0.10252998703740701</v>
      </c>
      <c r="K56">
        <v>1.1000000000000003</v>
      </c>
      <c r="L56">
        <v>-0.22</v>
      </c>
    </row>
    <row r="57" spans="1:12" x14ac:dyDescent="0.3">
      <c r="A57">
        <v>0.612813355</v>
      </c>
      <c r="B57">
        <v>-0.38240000000000002</v>
      </c>
      <c r="C57">
        <f t="shared" si="0"/>
        <v>0.38240000000000002</v>
      </c>
      <c r="E57">
        <f t="shared" si="1"/>
        <v>1.1142061000000001</v>
      </c>
      <c r="F57">
        <f t="shared" si="2"/>
        <v>1.125348161</v>
      </c>
      <c r="G57">
        <f t="shared" si="3"/>
        <v>9.5899999999999999E-2</v>
      </c>
      <c r="H57">
        <f t="shared" si="4"/>
        <v>9.0800000000000006E-2</v>
      </c>
      <c r="I57">
        <f t="shared" si="5"/>
        <v>9.3247987055536607E-2</v>
      </c>
      <c r="K57">
        <v>1.1200000000000003</v>
      </c>
      <c r="L57">
        <v>-0.17</v>
      </c>
    </row>
    <row r="58" spans="1:12" x14ac:dyDescent="0.3">
      <c r="A58">
        <v>0.62395541600000004</v>
      </c>
      <c r="B58">
        <v>-0.37409999999999999</v>
      </c>
      <c r="C58">
        <f t="shared" si="0"/>
        <v>0.37409999999999999</v>
      </c>
      <c r="E58">
        <f t="shared" si="1"/>
        <v>1.1364902219999999</v>
      </c>
      <c r="F58">
        <f t="shared" si="2"/>
        <v>1.1476322830000001</v>
      </c>
      <c r="G58">
        <f t="shared" si="3"/>
        <v>8.5699999999999998E-2</v>
      </c>
      <c r="H58">
        <f t="shared" si="4"/>
        <v>8.0500000000000002E-2</v>
      </c>
      <c r="I58">
        <f t="shared" si="5"/>
        <v>8.4061986566040026E-2</v>
      </c>
      <c r="K58">
        <v>1.1400000000000003</v>
      </c>
      <c r="L58">
        <v>-7.0000000000000007E-2</v>
      </c>
    </row>
    <row r="59" spans="1:12" x14ac:dyDescent="0.3">
      <c r="A59">
        <v>0.63509747699999997</v>
      </c>
      <c r="B59">
        <v>-0.3659</v>
      </c>
      <c r="C59">
        <f t="shared" si="0"/>
        <v>0.3659</v>
      </c>
      <c r="E59">
        <f t="shared" si="1"/>
        <v>1.158774344</v>
      </c>
      <c r="F59">
        <f t="shared" si="2"/>
        <v>1.1699164049999999</v>
      </c>
      <c r="G59">
        <f t="shared" si="3"/>
        <v>7.5399999999999995E-2</v>
      </c>
      <c r="H59">
        <f t="shared" si="4"/>
        <v>7.0300000000000001E-2</v>
      </c>
      <c r="I59">
        <f t="shared" si="5"/>
        <v>7.483898659323418E-2</v>
      </c>
      <c r="K59">
        <v>1.1600000000000004</v>
      </c>
      <c r="L59">
        <v>0.18</v>
      </c>
    </row>
    <row r="60" spans="1:12" x14ac:dyDescent="0.3">
      <c r="A60">
        <v>0.646239538</v>
      </c>
      <c r="B60">
        <v>-0.35780000000000001</v>
      </c>
      <c r="C60">
        <f t="shared" si="0"/>
        <v>0.35780000000000001</v>
      </c>
      <c r="E60">
        <f t="shared" si="1"/>
        <v>1.1699164049999999</v>
      </c>
      <c r="F60">
        <f t="shared" si="2"/>
        <v>1.1810584660000001</v>
      </c>
      <c r="G60">
        <f t="shared" si="3"/>
        <v>7.0300000000000001E-2</v>
      </c>
      <c r="H60">
        <f t="shared" si="4"/>
        <v>6.5199999999999994E-2</v>
      </c>
      <c r="I60">
        <f t="shared" si="5"/>
        <v>6.5684486362083128E-2</v>
      </c>
      <c r="K60">
        <v>1.1800000000000004</v>
      </c>
      <c r="L60">
        <v>-0.11</v>
      </c>
    </row>
    <row r="61" spans="1:12" x14ac:dyDescent="0.3">
      <c r="A61">
        <v>0.65738159900000004</v>
      </c>
      <c r="B61">
        <v>-0.34989999999999999</v>
      </c>
      <c r="C61">
        <f t="shared" si="0"/>
        <v>0.34989999999999999</v>
      </c>
      <c r="E61">
        <f t="shared" si="1"/>
        <v>1.192200527</v>
      </c>
      <c r="F61">
        <f t="shared" si="2"/>
        <v>1.2033425879999999</v>
      </c>
      <c r="G61">
        <f t="shared" si="3"/>
        <v>6.0100000000000001E-2</v>
      </c>
      <c r="H61">
        <f t="shared" si="4"/>
        <v>5.5100000000000003E-2</v>
      </c>
      <c r="I61">
        <f t="shared" si="5"/>
        <v>5.6599986402874447E-2</v>
      </c>
      <c r="K61">
        <v>1.2000000000000004</v>
      </c>
      <c r="L61">
        <v>-0.24</v>
      </c>
    </row>
    <row r="62" spans="1:12" x14ac:dyDescent="0.3">
      <c r="A62">
        <v>0.66852365999999996</v>
      </c>
      <c r="B62">
        <v>-0.34200000000000003</v>
      </c>
      <c r="C62">
        <f t="shared" si="0"/>
        <v>0.34200000000000003</v>
      </c>
      <c r="E62">
        <f t="shared" si="1"/>
        <v>1.2144846490000001</v>
      </c>
      <c r="F62">
        <f t="shared" si="2"/>
        <v>1.22562671</v>
      </c>
      <c r="G62">
        <f t="shared" si="3"/>
        <v>0.05</v>
      </c>
      <c r="H62">
        <f t="shared" si="4"/>
        <v>4.4900000000000002E-2</v>
      </c>
      <c r="I62">
        <f t="shared" si="5"/>
        <v>4.74754858997809E-2</v>
      </c>
      <c r="K62">
        <v>1.2200000000000004</v>
      </c>
      <c r="L62">
        <v>-0.27</v>
      </c>
    </row>
    <row r="63" spans="1:12" x14ac:dyDescent="0.3">
      <c r="A63">
        <v>0.679665721</v>
      </c>
      <c r="B63">
        <v>-0.33429999999999999</v>
      </c>
      <c r="C63">
        <f t="shared" si="0"/>
        <v>0.33429999999999999</v>
      </c>
      <c r="E63">
        <f t="shared" si="1"/>
        <v>1.2367687709999999</v>
      </c>
      <c r="F63">
        <f t="shared" si="2"/>
        <v>1.2479108320000001</v>
      </c>
      <c r="G63">
        <f t="shared" si="3"/>
        <v>3.9800000000000002E-2</v>
      </c>
      <c r="H63">
        <f t="shared" si="4"/>
        <v>3.4700000000000002E-2</v>
      </c>
      <c r="I63">
        <f t="shared" si="5"/>
        <v>3.8320985668629626E-2</v>
      </c>
      <c r="K63">
        <v>1.2400000000000004</v>
      </c>
      <c r="L63">
        <v>-0.26</v>
      </c>
    </row>
    <row r="64" spans="1:12" x14ac:dyDescent="0.3">
      <c r="A64">
        <v>0.69080778200000004</v>
      </c>
      <c r="B64">
        <v>-0.32669999999999999</v>
      </c>
      <c r="C64">
        <f t="shared" si="0"/>
        <v>0.32669999999999999</v>
      </c>
      <c r="E64">
        <f t="shared" si="1"/>
        <v>1.259052893</v>
      </c>
      <c r="F64">
        <f t="shared" si="2"/>
        <v>1.2701949539999999</v>
      </c>
      <c r="G64">
        <f t="shared" si="3"/>
        <v>2.9600000000000001E-2</v>
      </c>
      <c r="H64">
        <f t="shared" si="4"/>
        <v>2.4500000000000001E-2</v>
      </c>
      <c r="I64">
        <f t="shared" si="5"/>
        <v>2.9166485437478462E-2</v>
      </c>
      <c r="K64">
        <v>1.2600000000000005</v>
      </c>
      <c r="L64">
        <v>-0.25</v>
      </c>
    </row>
    <row r="65" spans="1:12" x14ac:dyDescent="0.3">
      <c r="A65">
        <v>0.70194984299999996</v>
      </c>
      <c r="B65">
        <v>-0.31919999999999998</v>
      </c>
      <c r="C65">
        <f t="shared" si="0"/>
        <v>0.31919999999999998</v>
      </c>
      <c r="E65">
        <f t="shared" si="1"/>
        <v>1.2701949539999999</v>
      </c>
      <c r="F65">
        <f t="shared" si="2"/>
        <v>1.2813370150000001</v>
      </c>
      <c r="G65">
        <f t="shared" si="3"/>
        <v>2.4500000000000001E-2</v>
      </c>
      <c r="H65">
        <f t="shared" si="4"/>
        <v>1.9300000000000001E-2</v>
      </c>
      <c r="I65">
        <f t="shared" si="5"/>
        <v>1.9923984916255466E-2</v>
      </c>
      <c r="K65">
        <v>1.2800000000000005</v>
      </c>
      <c r="L65">
        <v>-0.24</v>
      </c>
    </row>
    <row r="66" spans="1:12" x14ac:dyDescent="0.3">
      <c r="A66">
        <v>0.713091904</v>
      </c>
      <c r="B66">
        <v>-0.31180000000000002</v>
      </c>
      <c r="C66">
        <f t="shared" si="0"/>
        <v>0.31180000000000002</v>
      </c>
      <c r="E66">
        <f t="shared" si="1"/>
        <v>1.292479076</v>
      </c>
      <c r="F66">
        <f t="shared" si="2"/>
        <v>1.3036211369999999</v>
      </c>
      <c r="G66">
        <f t="shared" si="3"/>
        <v>1.4200000000000001E-2</v>
      </c>
      <c r="H66">
        <f t="shared" si="4"/>
        <v>8.9999999999999993E-3</v>
      </c>
      <c r="I66">
        <f t="shared" si="5"/>
        <v>1.0689984680571807E-2</v>
      </c>
      <c r="K66">
        <v>1.3000000000000005</v>
      </c>
      <c r="L66">
        <v>-0.48</v>
      </c>
    </row>
    <row r="67" spans="1:12" x14ac:dyDescent="0.3">
      <c r="A67">
        <v>0.72423396500000004</v>
      </c>
      <c r="B67">
        <v>-0.30449999999999999</v>
      </c>
      <c r="C67">
        <f t="shared" ref="C67:C130" si="6">B67*-1</f>
        <v>0.30449999999999999</v>
      </c>
      <c r="E67">
        <f t="shared" ref="E67:E130" si="7">_xlfn.XLOOKUP(K67,A:A,A:A,,-1)</f>
        <v>1.3147631980000001</v>
      </c>
      <c r="F67">
        <f t="shared" ref="F67:F130" si="8">_xlfn.XLOOKUP(K67,A:A,A:A,,1)</f>
        <v>1.325905259</v>
      </c>
      <c r="G67">
        <f t="shared" ref="G67:G130" si="9">_xlfn.XLOOKUP(E67,A:A,C:C,,-1)</f>
        <v>3.8E-3</v>
      </c>
      <c r="H67">
        <f t="shared" ref="H67:H130" si="10">_xlfn.XLOOKUP(F67,A:A,C:C,,1)</f>
        <v>-1.4E-3</v>
      </c>
      <c r="I67">
        <f t="shared" ref="I67:I130" si="11">_xlfn.FORECAST.LINEAR(K67,G67:H67,E67:F67)</f>
        <v>1.3559844448883807E-3</v>
      </c>
      <c r="K67">
        <v>1.3200000000000005</v>
      </c>
      <c r="L67">
        <v>-0.22</v>
      </c>
    </row>
    <row r="68" spans="1:12" x14ac:dyDescent="0.3">
      <c r="A68">
        <v>0.73537602599999996</v>
      </c>
      <c r="B68">
        <v>-0.29730000000000001</v>
      </c>
      <c r="C68">
        <f t="shared" si="6"/>
        <v>0.29730000000000001</v>
      </c>
      <c r="E68">
        <f t="shared" si="7"/>
        <v>1.3370473199999999</v>
      </c>
      <c r="F68">
        <f t="shared" si="8"/>
        <v>1.3481893810000001</v>
      </c>
      <c r="G68">
        <f t="shared" si="9"/>
        <v>-6.6E-3</v>
      </c>
      <c r="H68">
        <f t="shared" si="10"/>
        <v>-1.1900000000000001E-2</v>
      </c>
      <c r="I68">
        <f t="shared" si="11"/>
        <v>-7.5288410824533303E-3</v>
      </c>
      <c r="K68">
        <v>1.3390000000000004</v>
      </c>
      <c r="L68">
        <v>-0.12</v>
      </c>
    </row>
    <row r="69" spans="1:12" x14ac:dyDescent="0.3">
      <c r="A69">
        <v>0.746518087</v>
      </c>
      <c r="B69">
        <v>-0.29010000000000002</v>
      </c>
      <c r="C69">
        <f t="shared" si="6"/>
        <v>0.29010000000000002</v>
      </c>
      <c r="E69">
        <f t="shared" si="7"/>
        <v>1.359331442</v>
      </c>
      <c r="F69">
        <f t="shared" si="8"/>
        <v>1.3704735029999999</v>
      </c>
      <c r="G69">
        <f t="shared" si="9"/>
        <v>-1.72E-2</v>
      </c>
      <c r="H69">
        <f t="shared" si="10"/>
        <v>-2.2499999999999999E-2</v>
      </c>
      <c r="I69">
        <f t="shared" si="11"/>
        <v>-1.7518016334680087E-2</v>
      </c>
      <c r="K69">
        <v>1.3600000000000003</v>
      </c>
      <c r="L69">
        <v>-0.1</v>
      </c>
    </row>
    <row r="70" spans="1:12" x14ac:dyDescent="0.3">
      <c r="A70">
        <v>0.75766014800000003</v>
      </c>
      <c r="B70">
        <v>-0.28310000000000002</v>
      </c>
      <c r="C70">
        <f t="shared" si="6"/>
        <v>0.28310000000000002</v>
      </c>
      <c r="E70">
        <f t="shared" si="7"/>
        <v>1.3704735029999999</v>
      </c>
      <c r="F70">
        <f t="shared" si="8"/>
        <v>1.3816155640000001</v>
      </c>
      <c r="G70">
        <f t="shared" si="9"/>
        <v>-2.2499999999999999E-2</v>
      </c>
      <c r="H70">
        <f t="shared" si="10"/>
        <v>-2.7799999999999998E-2</v>
      </c>
      <c r="I70">
        <f t="shared" si="11"/>
        <v>-2.7031516574895886E-2</v>
      </c>
      <c r="K70">
        <v>1.3800000000000003</v>
      </c>
      <c r="L70">
        <v>-0.47</v>
      </c>
    </row>
    <row r="71" spans="1:12" x14ac:dyDescent="0.3">
      <c r="A71">
        <v>0.76880220899999996</v>
      </c>
      <c r="B71">
        <v>-0.2762</v>
      </c>
      <c r="C71">
        <f t="shared" si="6"/>
        <v>0.2762</v>
      </c>
      <c r="E71">
        <f t="shared" si="7"/>
        <v>1.392757625</v>
      </c>
      <c r="F71">
        <f t="shared" si="8"/>
        <v>1.4038996859999999</v>
      </c>
      <c r="G71">
        <f t="shared" si="9"/>
        <v>-3.32E-2</v>
      </c>
      <c r="H71">
        <f t="shared" si="10"/>
        <v>-3.8600000000000002E-2</v>
      </c>
      <c r="I71">
        <f t="shared" si="11"/>
        <v>-3.6710017132378203E-2</v>
      </c>
      <c r="K71">
        <v>1.4000000000000004</v>
      </c>
      <c r="L71">
        <v>-0.22</v>
      </c>
    </row>
    <row r="72" spans="1:12" x14ac:dyDescent="0.3">
      <c r="A72">
        <v>0.77994427</v>
      </c>
      <c r="B72">
        <v>-0.26939999999999997</v>
      </c>
      <c r="C72">
        <f t="shared" si="6"/>
        <v>0.26939999999999997</v>
      </c>
      <c r="E72">
        <f t="shared" si="7"/>
        <v>1.4150417470000001</v>
      </c>
      <c r="F72">
        <f t="shared" si="8"/>
        <v>1.426183808</v>
      </c>
      <c r="G72">
        <f t="shared" si="9"/>
        <v>-4.41E-2</v>
      </c>
      <c r="H72">
        <f t="shared" si="10"/>
        <v>-4.9500000000000002E-2</v>
      </c>
      <c r="I72">
        <f t="shared" si="11"/>
        <v>-4.6503017377126143E-2</v>
      </c>
      <c r="K72">
        <v>1.4200000000000004</v>
      </c>
      <c r="L72">
        <v>-0.19</v>
      </c>
    </row>
    <row r="73" spans="1:12" x14ac:dyDescent="0.3">
      <c r="A73">
        <v>0.79108633100000003</v>
      </c>
      <c r="B73">
        <v>-0.2626</v>
      </c>
      <c r="C73">
        <f t="shared" si="6"/>
        <v>0.2626</v>
      </c>
      <c r="E73">
        <f t="shared" si="7"/>
        <v>1.4373258689999999</v>
      </c>
      <c r="F73">
        <f t="shared" si="8"/>
        <v>1.4484679300000001</v>
      </c>
      <c r="G73">
        <f t="shared" si="9"/>
        <v>-5.5100000000000003E-2</v>
      </c>
      <c r="H73">
        <f t="shared" si="10"/>
        <v>-6.0600000000000001E-2</v>
      </c>
      <c r="I73">
        <f t="shared" si="11"/>
        <v>-5.6420017948205614E-2</v>
      </c>
      <c r="K73">
        <v>1.4400000000000004</v>
      </c>
      <c r="L73">
        <v>-0.27</v>
      </c>
    </row>
    <row r="74" spans="1:12" x14ac:dyDescent="0.3">
      <c r="A74">
        <v>0.80222839199999996</v>
      </c>
      <c r="B74">
        <v>-0.25600000000000001</v>
      </c>
      <c r="C74">
        <f t="shared" si="6"/>
        <v>0.25600000000000001</v>
      </c>
      <c r="E74">
        <f t="shared" si="7"/>
        <v>1.459609991</v>
      </c>
      <c r="F74">
        <f t="shared" si="8"/>
        <v>1.4707520519999999</v>
      </c>
      <c r="G74">
        <f t="shared" si="9"/>
        <v>-6.6199999999999995E-2</v>
      </c>
      <c r="H74">
        <f t="shared" si="10"/>
        <v>-7.1900000000000006E-2</v>
      </c>
      <c r="I74">
        <f t="shared" si="11"/>
        <v>-6.6399518859213025E-2</v>
      </c>
      <c r="K74">
        <v>1.4600000000000004</v>
      </c>
      <c r="L74">
        <v>-0.24</v>
      </c>
    </row>
    <row r="75" spans="1:12" x14ac:dyDescent="0.3">
      <c r="A75">
        <v>0.81337045299999999</v>
      </c>
      <c r="B75">
        <v>-0.24940000000000001</v>
      </c>
      <c r="C75">
        <f t="shared" si="6"/>
        <v>0.24940000000000001</v>
      </c>
      <c r="E75">
        <f t="shared" si="7"/>
        <v>1.4707520519999999</v>
      </c>
      <c r="F75">
        <f t="shared" si="8"/>
        <v>1.4818941130000001</v>
      </c>
      <c r="G75">
        <f t="shared" si="9"/>
        <v>-7.1900000000000006E-2</v>
      </c>
      <c r="H75">
        <f t="shared" si="10"/>
        <v>-7.7600000000000002E-2</v>
      </c>
      <c r="I75">
        <f t="shared" si="11"/>
        <v>-7.663101911755843E-2</v>
      </c>
      <c r="K75">
        <v>1.4800000000000004</v>
      </c>
      <c r="L75">
        <v>-0.2</v>
      </c>
    </row>
    <row r="76" spans="1:12" x14ac:dyDescent="0.3">
      <c r="A76">
        <v>0.82451251400000003</v>
      </c>
      <c r="B76">
        <v>-0.24299999999999999</v>
      </c>
      <c r="C76">
        <f t="shared" si="6"/>
        <v>0.24299999999999999</v>
      </c>
      <c r="E76">
        <f t="shared" si="7"/>
        <v>1.493036174</v>
      </c>
      <c r="F76">
        <f t="shared" si="8"/>
        <v>1.5041782349999999</v>
      </c>
      <c r="G76">
        <f t="shared" si="9"/>
        <v>-8.3299999999999999E-2</v>
      </c>
      <c r="H76">
        <f t="shared" si="10"/>
        <v>-8.9099999999999999E-2</v>
      </c>
      <c r="I76">
        <f t="shared" si="11"/>
        <v>-8.6925019715832108E-2</v>
      </c>
      <c r="K76">
        <v>1.5000000000000004</v>
      </c>
      <c r="L76">
        <v>-0.26</v>
      </c>
    </row>
    <row r="77" spans="1:12" x14ac:dyDescent="0.3">
      <c r="A77">
        <v>0.83565457499999996</v>
      </c>
      <c r="B77">
        <v>-0.2366</v>
      </c>
      <c r="C77">
        <f t="shared" si="6"/>
        <v>0.2366</v>
      </c>
      <c r="E77">
        <f t="shared" si="7"/>
        <v>1.5153202960000001</v>
      </c>
      <c r="F77">
        <f t="shared" si="8"/>
        <v>1.526462357</v>
      </c>
      <c r="G77">
        <f t="shared" si="9"/>
        <v>-9.4899999999999998E-2</v>
      </c>
      <c r="H77">
        <f t="shared" si="10"/>
        <v>-0.1008</v>
      </c>
      <c r="I77">
        <f t="shared" si="11"/>
        <v>-9.7378020323170222E-2</v>
      </c>
      <c r="K77">
        <v>1.5200000000000005</v>
      </c>
      <c r="L77">
        <v>-0.17</v>
      </c>
    </row>
    <row r="78" spans="1:12" x14ac:dyDescent="0.3">
      <c r="A78">
        <v>0.84679663599999999</v>
      </c>
      <c r="B78">
        <v>-0.2303</v>
      </c>
      <c r="C78">
        <f t="shared" si="6"/>
        <v>0.2303</v>
      </c>
      <c r="E78">
        <f t="shared" si="7"/>
        <v>1.5376044179999999</v>
      </c>
      <c r="F78">
        <f t="shared" si="8"/>
        <v>1.5487464790000001</v>
      </c>
      <c r="G78">
        <f t="shared" si="9"/>
        <v>-0.1067</v>
      </c>
      <c r="H78">
        <f t="shared" si="10"/>
        <v>-0.11269999999999999</v>
      </c>
      <c r="I78">
        <f t="shared" si="11"/>
        <v>-0.10799002093957333</v>
      </c>
      <c r="K78">
        <v>1.5400000000000005</v>
      </c>
      <c r="L78">
        <v>-0.42</v>
      </c>
    </row>
    <row r="79" spans="1:12" x14ac:dyDescent="0.3">
      <c r="A79">
        <v>0.85793869700000003</v>
      </c>
      <c r="B79">
        <v>-0.224</v>
      </c>
      <c r="C79">
        <f t="shared" si="6"/>
        <v>0.224</v>
      </c>
      <c r="E79">
        <f t="shared" si="7"/>
        <v>1.55988854</v>
      </c>
      <c r="F79">
        <f t="shared" si="8"/>
        <v>1.5710306009999999</v>
      </c>
      <c r="G79">
        <f t="shared" si="9"/>
        <v>-0.1187</v>
      </c>
      <c r="H79">
        <f t="shared" si="10"/>
        <v>-0.12479999999999999</v>
      </c>
      <c r="I79">
        <f t="shared" si="11"/>
        <v>-0.1187610215650412</v>
      </c>
      <c r="K79">
        <v>1.5600000000000005</v>
      </c>
      <c r="L79">
        <v>7.0000000000000007E-2</v>
      </c>
    </row>
    <row r="80" spans="1:12" x14ac:dyDescent="0.3">
      <c r="A80">
        <v>0.86908075799999995</v>
      </c>
      <c r="B80">
        <v>-0.21779999999999999</v>
      </c>
      <c r="C80">
        <f t="shared" si="6"/>
        <v>0.21779999999999999</v>
      </c>
      <c r="E80">
        <f t="shared" si="7"/>
        <v>1.5710306009999999</v>
      </c>
      <c r="F80">
        <f t="shared" si="8"/>
        <v>1.5821726620000001</v>
      </c>
      <c r="G80">
        <f t="shared" si="9"/>
        <v>-0.12479999999999999</v>
      </c>
      <c r="H80">
        <f t="shared" si="10"/>
        <v>-0.13089999999999999</v>
      </c>
      <c r="I80">
        <f t="shared" si="11"/>
        <v>-0.12971052184151588</v>
      </c>
      <c r="K80">
        <v>1.5800000000000005</v>
      </c>
      <c r="L80">
        <v>-0.39</v>
      </c>
    </row>
    <row r="81" spans="1:12" x14ac:dyDescent="0.3">
      <c r="A81">
        <v>0.88022281899999999</v>
      </c>
      <c r="B81">
        <v>-0.2117</v>
      </c>
      <c r="C81">
        <f t="shared" si="6"/>
        <v>0.2117</v>
      </c>
      <c r="E81">
        <f t="shared" si="7"/>
        <v>1.593314723</v>
      </c>
      <c r="F81">
        <f t="shared" si="8"/>
        <v>1.6044567839999999</v>
      </c>
      <c r="G81">
        <f t="shared" si="9"/>
        <v>-0.1371</v>
      </c>
      <c r="H81">
        <f t="shared" si="10"/>
        <v>-0.14330000000000001</v>
      </c>
      <c r="I81">
        <f t="shared" si="11"/>
        <v>-0.14082002248058101</v>
      </c>
      <c r="K81">
        <v>1.6000000000000005</v>
      </c>
      <c r="L81">
        <v>-0.25</v>
      </c>
    </row>
    <row r="82" spans="1:12" x14ac:dyDescent="0.3">
      <c r="A82">
        <v>0.89136488000000003</v>
      </c>
      <c r="B82">
        <v>-0.20569999999999999</v>
      </c>
      <c r="C82">
        <f t="shared" si="6"/>
        <v>0.20569999999999999</v>
      </c>
      <c r="E82">
        <f t="shared" si="7"/>
        <v>1.6155988450000001</v>
      </c>
      <c r="F82">
        <f t="shared" si="8"/>
        <v>1.626740906</v>
      </c>
      <c r="G82">
        <f t="shared" si="9"/>
        <v>-0.14960000000000001</v>
      </c>
      <c r="H82">
        <f t="shared" si="10"/>
        <v>-0.156</v>
      </c>
      <c r="I82">
        <f t="shared" si="11"/>
        <v>-0.15212802349583276</v>
      </c>
      <c r="K82">
        <v>1.6200000000000006</v>
      </c>
      <c r="L82">
        <v>-0.36</v>
      </c>
    </row>
    <row r="83" spans="1:12" x14ac:dyDescent="0.3">
      <c r="A83">
        <v>0.90250694099999995</v>
      </c>
      <c r="B83">
        <v>-0.19969999999999999</v>
      </c>
      <c r="C83">
        <f t="shared" si="6"/>
        <v>0.19969999999999999</v>
      </c>
      <c r="E83">
        <f t="shared" si="7"/>
        <v>1.6378829669999999</v>
      </c>
      <c r="F83">
        <f t="shared" si="8"/>
        <v>1.6490250280000001</v>
      </c>
      <c r="G83">
        <f t="shared" si="9"/>
        <v>-0.16239999999999999</v>
      </c>
      <c r="H83">
        <f t="shared" si="10"/>
        <v>-0.16880000000000001</v>
      </c>
      <c r="I83">
        <f t="shared" si="11"/>
        <v>-0.1636160237859049</v>
      </c>
      <c r="K83">
        <v>1.6400000000000006</v>
      </c>
      <c r="L83">
        <v>0.01</v>
      </c>
    </row>
    <row r="84" spans="1:12" x14ac:dyDescent="0.3">
      <c r="A84">
        <v>0.91364900199999999</v>
      </c>
      <c r="B84">
        <v>-0.1938</v>
      </c>
      <c r="C84">
        <f t="shared" si="6"/>
        <v>0.1938</v>
      </c>
      <c r="E84">
        <f t="shared" si="7"/>
        <v>1.6490250280000001</v>
      </c>
      <c r="F84">
        <f t="shared" si="8"/>
        <v>1.660167089</v>
      </c>
      <c r="G84">
        <f t="shared" si="9"/>
        <v>-0.16880000000000001</v>
      </c>
      <c r="H84">
        <f t="shared" si="10"/>
        <v>-0.17530000000000001</v>
      </c>
      <c r="I84">
        <f t="shared" si="11"/>
        <v>-0.17520252445216411</v>
      </c>
      <c r="K84">
        <v>1.6600000000000006</v>
      </c>
      <c r="L84">
        <v>-0.49</v>
      </c>
    </row>
    <row r="85" spans="1:12" x14ac:dyDescent="0.3">
      <c r="A85">
        <v>0.92479106300000002</v>
      </c>
      <c r="B85">
        <v>-0.188</v>
      </c>
      <c r="C85">
        <f t="shared" si="6"/>
        <v>0.188</v>
      </c>
      <c r="E85">
        <f t="shared" si="7"/>
        <v>1.6713091499999999</v>
      </c>
      <c r="F85">
        <f t="shared" si="8"/>
        <v>1.6824512110000001</v>
      </c>
      <c r="G85">
        <f t="shared" si="9"/>
        <v>-0.18190000000000001</v>
      </c>
      <c r="H85">
        <f t="shared" si="10"/>
        <v>-0.18840000000000001</v>
      </c>
      <c r="I85">
        <f t="shared" si="11"/>
        <v>-0.18697002474676849</v>
      </c>
      <c r="K85">
        <v>1.6800000000000006</v>
      </c>
      <c r="L85">
        <v>-0.15</v>
      </c>
    </row>
    <row r="86" spans="1:12" x14ac:dyDescent="0.3">
      <c r="A86">
        <v>0.93593312399999995</v>
      </c>
      <c r="B86">
        <v>-0.1822</v>
      </c>
      <c r="C86">
        <f t="shared" si="6"/>
        <v>0.1822</v>
      </c>
      <c r="E86">
        <f t="shared" si="7"/>
        <v>1.693593272</v>
      </c>
      <c r="F86">
        <f t="shared" si="8"/>
        <v>1.7047353329999999</v>
      </c>
      <c r="G86">
        <f t="shared" si="9"/>
        <v>-0.1951</v>
      </c>
      <c r="H86">
        <f t="shared" si="10"/>
        <v>-0.20180000000000001</v>
      </c>
      <c r="I86">
        <f t="shared" si="11"/>
        <v>-0.19895252581187672</v>
      </c>
      <c r="K86">
        <v>1.7000000000000006</v>
      </c>
      <c r="L86">
        <v>-0.48</v>
      </c>
    </row>
    <row r="87" spans="1:12" x14ac:dyDescent="0.3">
      <c r="A87">
        <v>0.94707518499999999</v>
      </c>
      <c r="B87">
        <v>-0.17649999999999999</v>
      </c>
      <c r="C87">
        <f t="shared" si="6"/>
        <v>0.17649999999999999</v>
      </c>
      <c r="E87">
        <f t="shared" si="7"/>
        <v>1.7158773940000001</v>
      </c>
      <c r="F87">
        <f t="shared" si="8"/>
        <v>1.727019455</v>
      </c>
      <c r="G87">
        <f t="shared" si="9"/>
        <v>-0.20849999999999999</v>
      </c>
      <c r="H87">
        <f t="shared" si="10"/>
        <v>-0.21529999999999999</v>
      </c>
      <c r="I87">
        <f t="shared" si="11"/>
        <v>-0.21101602650533002</v>
      </c>
      <c r="K87">
        <v>1.7200000000000006</v>
      </c>
      <c r="L87">
        <v>-0.03</v>
      </c>
    </row>
    <row r="88" spans="1:12" x14ac:dyDescent="0.3">
      <c r="A88">
        <v>0.95821724600000002</v>
      </c>
      <c r="B88">
        <v>-0.1709</v>
      </c>
      <c r="C88">
        <f t="shared" si="6"/>
        <v>0.1709</v>
      </c>
      <c r="E88">
        <f t="shared" si="7"/>
        <v>1.7381615159999999</v>
      </c>
      <c r="F88">
        <f t="shared" si="8"/>
        <v>1.7493035770000001</v>
      </c>
      <c r="G88">
        <f t="shared" si="9"/>
        <v>-0.22209999999999999</v>
      </c>
      <c r="H88">
        <f t="shared" si="10"/>
        <v>-0.22900000000000001</v>
      </c>
      <c r="I88">
        <f t="shared" si="11"/>
        <v>-0.22323852720784843</v>
      </c>
      <c r="K88">
        <v>1.7400000000000007</v>
      </c>
      <c r="L88">
        <v>-0.38</v>
      </c>
    </row>
    <row r="89" spans="1:12" x14ac:dyDescent="0.3">
      <c r="A89">
        <v>0.96935930699999995</v>
      </c>
      <c r="B89">
        <v>-0.1653</v>
      </c>
      <c r="C89">
        <f t="shared" si="6"/>
        <v>0.1653</v>
      </c>
      <c r="E89">
        <f t="shared" si="7"/>
        <v>1.7493035770000001</v>
      </c>
      <c r="F89">
        <f t="shared" si="8"/>
        <v>1.760445638</v>
      </c>
      <c r="G89">
        <f t="shared" si="9"/>
        <v>-0.22900000000000001</v>
      </c>
      <c r="H89">
        <f t="shared" si="10"/>
        <v>-0.2359</v>
      </c>
      <c r="I89">
        <f t="shared" si="11"/>
        <v>-0.23562402752058209</v>
      </c>
      <c r="K89">
        <v>1.7600000000000007</v>
      </c>
      <c r="L89">
        <v>-0.52</v>
      </c>
    </row>
    <row r="90" spans="1:12" x14ac:dyDescent="0.3">
      <c r="A90">
        <v>0.98050136799999998</v>
      </c>
      <c r="B90">
        <v>-0.15970000000000001</v>
      </c>
      <c r="C90">
        <f t="shared" si="6"/>
        <v>0.15970000000000001</v>
      </c>
      <c r="E90">
        <f t="shared" si="7"/>
        <v>1.7715876989999999</v>
      </c>
      <c r="F90">
        <f t="shared" si="8"/>
        <v>1.7827297600000001</v>
      </c>
      <c r="G90">
        <f t="shared" si="9"/>
        <v>-0.24279999999999999</v>
      </c>
      <c r="H90">
        <f t="shared" si="10"/>
        <v>-0.24979999999999999</v>
      </c>
      <c r="I90">
        <f t="shared" si="11"/>
        <v>-0.24808502823669731</v>
      </c>
      <c r="K90">
        <v>1.7800000000000007</v>
      </c>
      <c r="L90">
        <v>-0.44</v>
      </c>
    </row>
    <row r="91" spans="1:12" x14ac:dyDescent="0.3">
      <c r="A91">
        <v>0.99164342900000002</v>
      </c>
      <c r="B91">
        <v>-0.1542</v>
      </c>
      <c r="C91">
        <f t="shared" si="6"/>
        <v>0.1542</v>
      </c>
      <c r="E91">
        <f t="shared" si="7"/>
        <v>1.793871821</v>
      </c>
      <c r="F91">
        <f t="shared" si="8"/>
        <v>1.8050138819999999</v>
      </c>
      <c r="G91">
        <f t="shared" si="9"/>
        <v>-0.25679999999999997</v>
      </c>
      <c r="H91">
        <f t="shared" si="10"/>
        <v>-0.26379999999999998</v>
      </c>
      <c r="I91">
        <f t="shared" si="11"/>
        <v>-0.26065002855396369</v>
      </c>
      <c r="K91">
        <v>1.8000000000000007</v>
      </c>
      <c r="L91">
        <v>-0.34</v>
      </c>
    </row>
    <row r="92" spans="1:12" x14ac:dyDescent="0.3">
      <c r="A92">
        <v>1.0027854899999999</v>
      </c>
      <c r="B92">
        <v>-0.1487</v>
      </c>
      <c r="C92">
        <f t="shared" si="6"/>
        <v>0.1487</v>
      </c>
      <c r="E92">
        <f t="shared" si="7"/>
        <v>1.8161559430000001</v>
      </c>
      <c r="F92">
        <f t="shared" si="8"/>
        <v>1.827298004</v>
      </c>
      <c r="G92">
        <f t="shared" si="9"/>
        <v>-0.27089999999999997</v>
      </c>
      <c r="H92">
        <f t="shared" si="10"/>
        <v>-0.27800000000000002</v>
      </c>
      <c r="I92">
        <f t="shared" si="11"/>
        <v>-0.27334952928367595</v>
      </c>
      <c r="K92">
        <v>1.8200000000000007</v>
      </c>
      <c r="L92">
        <v>-0.52</v>
      </c>
    </row>
    <row r="93" spans="1:12" x14ac:dyDescent="0.3">
      <c r="A93">
        <v>1.0139275510000001</v>
      </c>
      <c r="B93">
        <v>-0.14330000000000001</v>
      </c>
      <c r="C93">
        <f t="shared" si="6"/>
        <v>0.14330000000000001</v>
      </c>
      <c r="E93">
        <f t="shared" si="7"/>
        <v>1.8384400649999999</v>
      </c>
      <c r="F93">
        <f t="shared" si="8"/>
        <v>1.849582126</v>
      </c>
      <c r="G93">
        <f t="shared" si="9"/>
        <v>-0.28510000000000002</v>
      </c>
      <c r="H93">
        <f t="shared" si="10"/>
        <v>-0.2923</v>
      </c>
      <c r="I93">
        <f t="shared" si="11"/>
        <v>-0.28610803002245322</v>
      </c>
      <c r="K93">
        <v>1.8400000000000007</v>
      </c>
      <c r="L93">
        <v>-0.42</v>
      </c>
    </row>
    <row r="94" spans="1:12" x14ac:dyDescent="0.3">
      <c r="A94">
        <v>1.025069612</v>
      </c>
      <c r="B94">
        <v>-0.13789999999999999</v>
      </c>
      <c r="C94">
        <f t="shared" si="6"/>
        <v>0.13789999999999999</v>
      </c>
      <c r="E94">
        <f t="shared" si="7"/>
        <v>1.849582126</v>
      </c>
      <c r="F94">
        <f t="shared" si="8"/>
        <v>1.860724187</v>
      </c>
      <c r="G94">
        <f t="shared" si="9"/>
        <v>-0.2923</v>
      </c>
      <c r="H94">
        <f t="shared" si="10"/>
        <v>-0.2994</v>
      </c>
      <c r="I94">
        <f t="shared" si="11"/>
        <v>-0.2989385299272731</v>
      </c>
      <c r="K94">
        <v>1.8600000000000008</v>
      </c>
      <c r="L94">
        <v>-0.6</v>
      </c>
    </row>
    <row r="95" spans="1:12" x14ac:dyDescent="0.3">
      <c r="A95">
        <v>1.0362116729999999</v>
      </c>
      <c r="B95">
        <v>-0.1326</v>
      </c>
      <c r="C95">
        <f t="shared" si="6"/>
        <v>0.1326</v>
      </c>
      <c r="E95">
        <f t="shared" si="7"/>
        <v>1.8718662479999999</v>
      </c>
      <c r="F95">
        <f t="shared" si="8"/>
        <v>1.883008309</v>
      </c>
      <c r="G95">
        <f t="shared" si="9"/>
        <v>-0.30659999999999998</v>
      </c>
      <c r="H95">
        <f t="shared" si="10"/>
        <v>-0.31369999999999998</v>
      </c>
      <c r="I95">
        <f t="shared" si="11"/>
        <v>-0.31178303024907184</v>
      </c>
      <c r="K95">
        <v>1.8800000000000008</v>
      </c>
      <c r="L95">
        <v>-0.59</v>
      </c>
    </row>
    <row r="96" spans="1:12" x14ac:dyDescent="0.3">
      <c r="A96">
        <v>1.0473537340000001</v>
      </c>
      <c r="B96">
        <v>-0.12720000000000001</v>
      </c>
      <c r="C96">
        <f t="shared" si="6"/>
        <v>0.12720000000000001</v>
      </c>
      <c r="E96">
        <f t="shared" si="7"/>
        <v>1.89415037</v>
      </c>
      <c r="F96">
        <f t="shared" si="8"/>
        <v>1.9052924309999999</v>
      </c>
      <c r="G96">
        <f t="shared" si="9"/>
        <v>-0.32090000000000002</v>
      </c>
      <c r="H96">
        <f t="shared" si="10"/>
        <v>-0.3281</v>
      </c>
      <c r="I96">
        <f t="shared" si="11"/>
        <v>-0.3246800310014466</v>
      </c>
      <c r="K96">
        <v>1.9000000000000008</v>
      </c>
      <c r="L96">
        <v>-0.38</v>
      </c>
    </row>
    <row r="97" spans="1:12" x14ac:dyDescent="0.3">
      <c r="A97">
        <v>1.058495795</v>
      </c>
      <c r="B97">
        <v>-0.122</v>
      </c>
      <c r="C97">
        <f t="shared" si="6"/>
        <v>0.122</v>
      </c>
      <c r="E97">
        <f t="shared" si="7"/>
        <v>1.916434492</v>
      </c>
      <c r="F97">
        <f t="shared" si="8"/>
        <v>1.927576553</v>
      </c>
      <c r="G97">
        <f t="shared" si="9"/>
        <v>-0.33529999999999999</v>
      </c>
      <c r="H97">
        <f t="shared" si="10"/>
        <v>-0.34239999999999998</v>
      </c>
      <c r="I97">
        <f t="shared" si="11"/>
        <v>-0.33757203089266918</v>
      </c>
      <c r="K97">
        <v>1.9200000000000008</v>
      </c>
      <c r="L97">
        <v>-0.61</v>
      </c>
    </row>
    <row r="98" spans="1:12" x14ac:dyDescent="0.3">
      <c r="A98">
        <v>1.0696378559999999</v>
      </c>
      <c r="B98">
        <v>-0.1167</v>
      </c>
      <c r="C98">
        <f t="shared" si="6"/>
        <v>0.1167</v>
      </c>
      <c r="E98">
        <f t="shared" si="7"/>
        <v>1.9387186139999999</v>
      </c>
      <c r="F98">
        <f t="shared" si="8"/>
        <v>1.949860675</v>
      </c>
      <c r="G98">
        <f t="shared" si="9"/>
        <v>-0.34960000000000002</v>
      </c>
      <c r="H98">
        <f t="shared" si="10"/>
        <v>-0.35670000000000002</v>
      </c>
      <c r="I98">
        <f t="shared" si="11"/>
        <v>-0.35041653121446803</v>
      </c>
      <c r="K98">
        <v>1.9400000000000008</v>
      </c>
      <c r="L98">
        <v>-0.6</v>
      </c>
    </row>
    <row r="99" spans="1:12" x14ac:dyDescent="0.3">
      <c r="A99">
        <v>1.0807799170000001</v>
      </c>
      <c r="B99">
        <v>-0.1115</v>
      </c>
      <c r="C99">
        <f t="shared" si="6"/>
        <v>0.1115</v>
      </c>
      <c r="E99">
        <f t="shared" si="7"/>
        <v>1.949860675</v>
      </c>
      <c r="F99">
        <f t="shared" si="8"/>
        <v>1.961002736</v>
      </c>
      <c r="G99">
        <f t="shared" si="9"/>
        <v>-0.35670000000000002</v>
      </c>
      <c r="H99">
        <f t="shared" si="10"/>
        <v>-0.36380000000000001</v>
      </c>
      <c r="I99">
        <f t="shared" si="11"/>
        <v>-0.36316103153626655</v>
      </c>
      <c r="K99">
        <v>1.9600000000000009</v>
      </c>
      <c r="L99">
        <v>-0.47</v>
      </c>
    </row>
    <row r="100" spans="1:12" x14ac:dyDescent="0.3">
      <c r="A100">
        <v>1.091921978</v>
      </c>
      <c r="B100">
        <v>-0.10630000000000001</v>
      </c>
      <c r="C100">
        <f t="shared" si="6"/>
        <v>0.10630000000000001</v>
      </c>
      <c r="E100">
        <f t="shared" si="7"/>
        <v>1.9721447969999999</v>
      </c>
      <c r="F100">
        <f t="shared" si="8"/>
        <v>1.983286858</v>
      </c>
      <c r="G100">
        <f t="shared" si="9"/>
        <v>-0.37090000000000001</v>
      </c>
      <c r="H100">
        <f t="shared" si="10"/>
        <v>-0.378</v>
      </c>
      <c r="I100">
        <f t="shared" si="11"/>
        <v>-0.37526830684197532</v>
      </c>
      <c r="K100">
        <v>1.9790000000000008</v>
      </c>
      <c r="L100">
        <v>-0.59</v>
      </c>
    </row>
    <row r="101" spans="1:12" x14ac:dyDescent="0.3">
      <c r="A101">
        <v>1.1030640389999999</v>
      </c>
      <c r="B101">
        <v>-0.1011</v>
      </c>
      <c r="C101">
        <f t="shared" si="6"/>
        <v>0.1011</v>
      </c>
      <c r="E101">
        <f t="shared" si="7"/>
        <v>1.994428919</v>
      </c>
      <c r="F101">
        <f t="shared" si="8"/>
        <v>2.0055709799999999</v>
      </c>
      <c r="G101">
        <f t="shared" si="9"/>
        <v>-0.38500000000000001</v>
      </c>
      <c r="H101">
        <f t="shared" si="10"/>
        <v>-0.39200000000000002</v>
      </c>
      <c r="I101">
        <f t="shared" si="11"/>
        <v>-0.38850003172662673</v>
      </c>
      <c r="K101">
        <v>2.0000000000000009</v>
      </c>
      <c r="L101">
        <v>-0.69</v>
      </c>
    </row>
    <row r="102" spans="1:12" x14ac:dyDescent="0.3">
      <c r="A102">
        <v>1.1142061000000001</v>
      </c>
      <c r="B102">
        <v>-9.5899999999999999E-2</v>
      </c>
      <c r="C102">
        <f t="shared" si="6"/>
        <v>9.5899999999999999E-2</v>
      </c>
      <c r="E102">
        <f t="shared" si="7"/>
        <v>2.016713041</v>
      </c>
      <c r="F102">
        <f t="shared" si="8"/>
        <v>2.0278551020000002</v>
      </c>
      <c r="G102">
        <f t="shared" si="9"/>
        <v>-0.39889999999999998</v>
      </c>
      <c r="H102">
        <f t="shared" si="10"/>
        <v>-0.40579999999999999</v>
      </c>
      <c r="I102">
        <f t="shared" si="11"/>
        <v>-0.4009355315861225</v>
      </c>
      <c r="K102">
        <v>2.0200000000000009</v>
      </c>
      <c r="L102">
        <v>-0.54</v>
      </c>
    </row>
    <row r="103" spans="1:12" x14ac:dyDescent="0.3">
      <c r="A103">
        <v>1.125348161</v>
      </c>
      <c r="B103">
        <v>-9.0800000000000006E-2</v>
      </c>
      <c r="C103">
        <f t="shared" si="6"/>
        <v>9.0800000000000006E-2</v>
      </c>
      <c r="E103">
        <f t="shared" si="7"/>
        <v>2.0389971629999999</v>
      </c>
      <c r="F103">
        <f t="shared" si="8"/>
        <v>2.050139224</v>
      </c>
      <c r="G103">
        <f t="shared" si="9"/>
        <v>-0.41260000000000002</v>
      </c>
      <c r="H103">
        <f t="shared" si="10"/>
        <v>-0.4194</v>
      </c>
      <c r="I103">
        <f t="shared" si="11"/>
        <v>-0.41321203143655449</v>
      </c>
      <c r="K103">
        <v>2.0400000000000009</v>
      </c>
      <c r="L103">
        <v>-0.6</v>
      </c>
    </row>
    <row r="104" spans="1:12" x14ac:dyDescent="0.3">
      <c r="A104">
        <v>1.1364902219999999</v>
      </c>
      <c r="B104">
        <v>-8.5699999999999998E-2</v>
      </c>
      <c r="C104">
        <f t="shared" si="6"/>
        <v>8.5699999999999998E-2</v>
      </c>
      <c r="E104">
        <f t="shared" si="7"/>
        <v>2.050139224</v>
      </c>
      <c r="F104">
        <f t="shared" si="8"/>
        <v>2.0612812850000002</v>
      </c>
      <c r="G104">
        <f t="shared" si="9"/>
        <v>-0.4194</v>
      </c>
      <c r="H104">
        <f t="shared" si="10"/>
        <v>-0.42609999999999998</v>
      </c>
      <c r="I104">
        <f t="shared" si="11"/>
        <v>-0.42532953127792106</v>
      </c>
      <c r="K104">
        <v>2.0600000000000009</v>
      </c>
      <c r="L104">
        <v>-0.51</v>
      </c>
    </row>
    <row r="105" spans="1:12" x14ac:dyDescent="0.3">
      <c r="A105">
        <v>1.1476322830000001</v>
      </c>
      <c r="B105">
        <v>-8.0500000000000002E-2</v>
      </c>
      <c r="C105">
        <f t="shared" si="6"/>
        <v>8.0500000000000002E-2</v>
      </c>
      <c r="E105">
        <f t="shared" si="7"/>
        <v>2.0724233459999999</v>
      </c>
      <c r="F105">
        <f t="shared" si="8"/>
        <v>2.083565407</v>
      </c>
      <c r="G105">
        <f t="shared" si="9"/>
        <v>-0.43269999999999997</v>
      </c>
      <c r="H105">
        <f t="shared" si="10"/>
        <v>-0.43930000000000002</v>
      </c>
      <c r="I105">
        <f t="shared" si="11"/>
        <v>-0.4371880311102232</v>
      </c>
      <c r="K105">
        <v>2.080000000000001</v>
      </c>
      <c r="L105">
        <v>-0.84</v>
      </c>
    </row>
    <row r="106" spans="1:12" x14ac:dyDescent="0.3">
      <c r="A106">
        <v>1.158774344</v>
      </c>
      <c r="B106">
        <v>-7.5399999999999995E-2</v>
      </c>
      <c r="C106">
        <f t="shared" si="6"/>
        <v>7.5399999999999995E-2</v>
      </c>
      <c r="E106">
        <f t="shared" si="7"/>
        <v>2.0947074680000002</v>
      </c>
      <c r="F106">
        <f t="shared" si="8"/>
        <v>2.1058495289999999</v>
      </c>
      <c r="G106">
        <f t="shared" si="9"/>
        <v>-0.44579999999999997</v>
      </c>
      <c r="H106">
        <f t="shared" si="10"/>
        <v>-0.45219999999999999</v>
      </c>
      <c r="I106">
        <f t="shared" si="11"/>
        <v>-0.44884003045756138</v>
      </c>
      <c r="K106">
        <v>2.100000000000001</v>
      </c>
      <c r="L106">
        <v>-0.71</v>
      </c>
    </row>
    <row r="107" spans="1:12" x14ac:dyDescent="0.3">
      <c r="A107">
        <v>1.1699164049999999</v>
      </c>
      <c r="B107">
        <v>-7.0300000000000001E-2</v>
      </c>
      <c r="C107">
        <f t="shared" si="6"/>
        <v>7.0300000000000001E-2</v>
      </c>
      <c r="E107">
        <f t="shared" si="7"/>
        <v>2.11699159</v>
      </c>
      <c r="F107">
        <f t="shared" si="8"/>
        <v>2.1281336510000002</v>
      </c>
      <c r="G107">
        <f t="shared" si="9"/>
        <v>-0.45850000000000002</v>
      </c>
      <c r="H107">
        <f t="shared" si="10"/>
        <v>-0.4647</v>
      </c>
      <c r="I107">
        <f t="shared" si="11"/>
        <v>-0.4601740297867698</v>
      </c>
      <c r="K107">
        <v>2.120000000000001</v>
      </c>
      <c r="L107">
        <v>-0.49</v>
      </c>
    </row>
    <row r="108" spans="1:12" x14ac:dyDescent="0.3">
      <c r="A108">
        <v>1.1810584660000001</v>
      </c>
      <c r="B108">
        <v>-6.5199999999999994E-2</v>
      </c>
      <c r="C108">
        <f t="shared" si="6"/>
        <v>6.5199999999999994E-2</v>
      </c>
      <c r="E108">
        <f t="shared" si="7"/>
        <v>2.1392757119999999</v>
      </c>
      <c r="F108">
        <f t="shared" si="8"/>
        <v>2.150417773</v>
      </c>
      <c r="G108">
        <f t="shared" si="9"/>
        <v>-0.4708</v>
      </c>
      <c r="H108">
        <f t="shared" si="10"/>
        <v>-0.47689999999999999</v>
      </c>
      <c r="I108">
        <f t="shared" si="11"/>
        <v>-0.471196529582813</v>
      </c>
      <c r="K108">
        <v>2.140000000000001</v>
      </c>
      <c r="L108">
        <v>-0.53</v>
      </c>
    </row>
    <row r="109" spans="1:12" x14ac:dyDescent="0.3">
      <c r="A109">
        <v>1.192200527</v>
      </c>
      <c r="B109">
        <v>-6.0100000000000001E-2</v>
      </c>
      <c r="C109">
        <f t="shared" si="6"/>
        <v>6.0100000000000001E-2</v>
      </c>
      <c r="E109">
        <f t="shared" si="7"/>
        <v>2.150417773</v>
      </c>
      <c r="F109">
        <f t="shared" si="8"/>
        <v>2.1615598340000002</v>
      </c>
      <c r="G109">
        <f t="shared" si="9"/>
        <v>-0.47689999999999999</v>
      </c>
      <c r="H109">
        <f t="shared" si="10"/>
        <v>-0.48280000000000001</v>
      </c>
      <c r="I109">
        <f t="shared" si="11"/>
        <v>-0.48197402888029484</v>
      </c>
      <c r="K109">
        <v>2.160000000000001</v>
      </c>
      <c r="L109">
        <v>-0.59</v>
      </c>
    </row>
    <row r="110" spans="1:12" x14ac:dyDescent="0.3">
      <c r="A110">
        <v>1.2033425879999999</v>
      </c>
      <c r="B110">
        <v>-5.5100000000000003E-2</v>
      </c>
      <c r="C110">
        <f t="shared" si="6"/>
        <v>5.5100000000000003E-2</v>
      </c>
      <c r="E110">
        <f t="shared" si="7"/>
        <v>2.1727018949999999</v>
      </c>
      <c r="F110">
        <f t="shared" si="8"/>
        <v>2.183843956</v>
      </c>
      <c r="G110">
        <f t="shared" si="9"/>
        <v>-0.48859999999999998</v>
      </c>
      <c r="H110">
        <f t="shared" si="10"/>
        <v>-0.49430000000000002</v>
      </c>
      <c r="I110">
        <f t="shared" si="11"/>
        <v>-0.49233352815964704</v>
      </c>
      <c r="K110">
        <v>2.180000000000001</v>
      </c>
      <c r="L110">
        <v>-0.83</v>
      </c>
    </row>
    <row r="111" spans="1:12" x14ac:dyDescent="0.3">
      <c r="A111">
        <v>1.2144846490000001</v>
      </c>
      <c r="B111">
        <v>-0.05</v>
      </c>
      <c r="C111">
        <f t="shared" si="6"/>
        <v>0.05</v>
      </c>
      <c r="E111">
        <f t="shared" si="7"/>
        <v>2.1949860170000002</v>
      </c>
      <c r="F111">
        <f t="shared" si="8"/>
        <v>2.2061280779999999</v>
      </c>
      <c r="G111">
        <f t="shared" si="9"/>
        <v>-0.49990000000000001</v>
      </c>
      <c r="H111">
        <f t="shared" si="10"/>
        <v>-0.50539999999999996</v>
      </c>
      <c r="I111">
        <f t="shared" si="11"/>
        <v>-0.50237502742086981</v>
      </c>
      <c r="K111">
        <v>2.2000000000000011</v>
      </c>
      <c r="L111">
        <v>-0.03</v>
      </c>
    </row>
    <row r="112" spans="1:12" x14ac:dyDescent="0.3">
      <c r="A112">
        <v>1.22562671</v>
      </c>
      <c r="B112">
        <v>-4.4900000000000002E-2</v>
      </c>
      <c r="C112">
        <f t="shared" si="6"/>
        <v>4.4900000000000002E-2</v>
      </c>
      <c r="E112">
        <f t="shared" si="7"/>
        <v>2.217270139</v>
      </c>
      <c r="F112">
        <f t="shared" si="8"/>
        <v>2.2284122000000002</v>
      </c>
      <c r="G112">
        <f t="shared" si="9"/>
        <v>-0.51070000000000004</v>
      </c>
      <c r="H112">
        <f t="shared" si="10"/>
        <v>-0.51590000000000003</v>
      </c>
      <c r="I112">
        <f t="shared" si="11"/>
        <v>-0.51197402616086984</v>
      </c>
      <c r="K112">
        <v>2.2200000000000011</v>
      </c>
      <c r="L112">
        <v>-0.51</v>
      </c>
    </row>
    <row r="113" spans="1:12" x14ac:dyDescent="0.3">
      <c r="A113">
        <v>1.2367687709999999</v>
      </c>
      <c r="B113">
        <v>-3.9800000000000002E-2</v>
      </c>
      <c r="C113">
        <f t="shared" si="6"/>
        <v>3.9800000000000002E-2</v>
      </c>
      <c r="E113">
        <f t="shared" si="7"/>
        <v>2.2395542609999999</v>
      </c>
      <c r="F113">
        <f t="shared" si="8"/>
        <v>2.250696322</v>
      </c>
      <c r="G113">
        <f t="shared" si="9"/>
        <v>-0.52100000000000002</v>
      </c>
      <c r="H113">
        <f t="shared" si="10"/>
        <v>-0.52600000000000002</v>
      </c>
      <c r="I113">
        <f t="shared" si="11"/>
        <v>-0.52120002538130117</v>
      </c>
      <c r="K113">
        <v>2.2400000000000011</v>
      </c>
      <c r="L113">
        <v>-0.36</v>
      </c>
    </row>
    <row r="114" spans="1:12" x14ac:dyDescent="0.3">
      <c r="A114">
        <v>1.2479108320000001</v>
      </c>
      <c r="B114">
        <v>-3.4700000000000002E-2</v>
      </c>
      <c r="C114">
        <f t="shared" si="6"/>
        <v>3.4700000000000002E-2</v>
      </c>
      <c r="E114">
        <f t="shared" si="7"/>
        <v>2.250696322</v>
      </c>
      <c r="F114">
        <f t="shared" si="8"/>
        <v>2.2618383830000002</v>
      </c>
      <c r="G114">
        <f t="shared" si="9"/>
        <v>-0.52600000000000002</v>
      </c>
      <c r="H114">
        <f t="shared" si="10"/>
        <v>-0.53080000000000005</v>
      </c>
      <c r="I114">
        <f t="shared" si="11"/>
        <v>-0.53000802458360297</v>
      </c>
      <c r="K114">
        <v>2.2600000000000011</v>
      </c>
      <c r="L114">
        <v>-0.68</v>
      </c>
    </row>
    <row r="115" spans="1:12" x14ac:dyDescent="0.3">
      <c r="A115">
        <v>1.259052893</v>
      </c>
      <c r="B115">
        <v>-2.9600000000000001E-2</v>
      </c>
      <c r="C115">
        <f t="shared" si="6"/>
        <v>2.9600000000000001E-2</v>
      </c>
      <c r="E115">
        <f t="shared" si="7"/>
        <v>2.2729804439999999</v>
      </c>
      <c r="F115">
        <f t="shared" si="8"/>
        <v>2.284122505</v>
      </c>
      <c r="G115">
        <f t="shared" si="9"/>
        <v>-0.53549999999999998</v>
      </c>
      <c r="H115">
        <f t="shared" si="10"/>
        <v>-0.54010000000000002</v>
      </c>
      <c r="I115">
        <f t="shared" si="11"/>
        <v>-0.53839802376777557</v>
      </c>
      <c r="K115">
        <v>2.2800000000000011</v>
      </c>
      <c r="L115">
        <v>-0.71</v>
      </c>
    </row>
    <row r="116" spans="1:12" x14ac:dyDescent="0.3">
      <c r="A116">
        <v>1.2701949539999999</v>
      </c>
      <c r="B116">
        <v>-2.4500000000000001E-2</v>
      </c>
      <c r="C116">
        <f t="shared" si="6"/>
        <v>2.4500000000000001E-2</v>
      </c>
      <c r="E116">
        <f t="shared" si="7"/>
        <v>2.2952645660000002</v>
      </c>
      <c r="F116">
        <f t="shared" si="8"/>
        <v>2.3064066269999999</v>
      </c>
      <c r="G116">
        <f t="shared" si="9"/>
        <v>-0.54449999999999998</v>
      </c>
      <c r="H116">
        <f t="shared" si="10"/>
        <v>-0.54869999999999997</v>
      </c>
      <c r="I116">
        <f t="shared" si="11"/>
        <v>-0.54628502189137229</v>
      </c>
      <c r="K116">
        <v>2.3000000000000012</v>
      </c>
      <c r="L116">
        <v>-0.59</v>
      </c>
    </row>
    <row r="117" spans="1:12" x14ac:dyDescent="0.3">
      <c r="A117">
        <v>1.2813370150000001</v>
      </c>
      <c r="B117">
        <v>-1.9300000000000001E-2</v>
      </c>
      <c r="C117">
        <f t="shared" si="6"/>
        <v>1.9300000000000001E-2</v>
      </c>
      <c r="E117">
        <f t="shared" si="7"/>
        <v>2.317548688</v>
      </c>
      <c r="F117">
        <f t="shared" si="8"/>
        <v>2.3286907490000002</v>
      </c>
      <c r="G117">
        <f t="shared" si="9"/>
        <v>-0.55279999999999996</v>
      </c>
      <c r="H117">
        <f t="shared" si="10"/>
        <v>-0.55679999999999996</v>
      </c>
      <c r="I117">
        <f t="shared" si="11"/>
        <v>-0.55368002103022096</v>
      </c>
      <c r="K117">
        <v>2.3200000000000012</v>
      </c>
      <c r="L117">
        <v>-0.59</v>
      </c>
    </row>
    <row r="118" spans="1:12" x14ac:dyDescent="0.3">
      <c r="A118">
        <v>1.292479076</v>
      </c>
      <c r="B118">
        <v>-1.4200000000000001E-2</v>
      </c>
      <c r="C118">
        <f t="shared" si="6"/>
        <v>1.4200000000000001E-2</v>
      </c>
      <c r="E118">
        <f t="shared" si="7"/>
        <v>2.3398328099999999</v>
      </c>
      <c r="F118">
        <f t="shared" si="8"/>
        <v>2.350974871</v>
      </c>
      <c r="G118">
        <f t="shared" si="9"/>
        <v>-0.56059999999999999</v>
      </c>
      <c r="H118">
        <f t="shared" si="10"/>
        <v>-0.56420000000000003</v>
      </c>
      <c r="I118">
        <f t="shared" si="11"/>
        <v>-0.56065401909036439</v>
      </c>
      <c r="K118">
        <v>2.3400000000000012</v>
      </c>
      <c r="L118">
        <v>-0.51</v>
      </c>
    </row>
    <row r="119" spans="1:12" x14ac:dyDescent="0.3">
      <c r="A119">
        <v>1.3036211369999999</v>
      </c>
      <c r="B119">
        <v>-8.9999999999999993E-3</v>
      </c>
      <c r="C119">
        <f t="shared" si="6"/>
        <v>8.9999999999999993E-3</v>
      </c>
      <c r="E119">
        <f t="shared" si="7"/>
        <v>2.350974871</v>
      </c>
      <c r="F119">
        <f t="shared" si="8"/>
        <v>2.3621169320000002</v>
      </c>
      <c r="G119">
        <f t="shared" si="9"/>
        <v>-0.56420000000000003</v>
      </c>
      <c r="H119">
        <f t="shared" si="10"/>
        <v>-0.56769999999999998</v>
      </c>
      <c r="I119">
        <f t="shared" si="11"/>
        <v>-0.56703501871870943</v>
      </c>
      <c r="K119">
        <v>2.3600000000000012</v>
      </c>
      <c r="L119">
        <v>0.08</v>
      </c>
    </row>
    <row r="120" spans="1:12" x14ac:dyDescent="0.3">
      <c r="A120">
        <v>1.3147631980000001</v>
      </c>
      <c r="B120">
        <v>-3.8E-3</v>
      </c>
      <c r="C120">
        <f t="shared" si="6"/>
        <v>3.8E-3</v>
      </c>
      <c r="E120">
        <f t="shared" si="7"/>
        <v>2.3732589929999999</v>
      </c>
      <c r="F120">
        <f t="shared" si="8"/>
        <v>2.384401054</v>
      </c>
      <c r="G120">
        <f t="shared" si="9"/>
        <v>-0.57099999999999995</v>
      </c>
      <c r="H120">
        <f t="shared" si="10"/>
        <v>-0.57420000000000004</v>
      </c>
      <c r="I120">
        <f t="shared" si="11"/>
        <v>-0.57293601725928489</v>
      </c>
      <c r="K120">
        <v>2.3800000000000012</v>
      </c>
      <c r="L120">
        <v>-0.72</v>
      </c>
    </row>
    <row r="121" spans="1:12" x14ac:dyDescent="0.3">
      <c r="A121">
        <v>1.325905259</v>
      </c>
      <c r="B121">
        <v>1.4E-3</v>
      </c>
      <c r="C121">
        <f t="shared" si="6"/>
        <v>-1.4E-3</v>
      </c>
      <c r="E121">
        <f t="shared" si="7"/>
        <v>2.3955431150000002</v>
      </c>
      <c r="F121">
        <f t="shared" si="8"/>
        <v>2.4066851759999999</v>
      </c>
      <c r="G121">
        <f t="shared" si="9"/>
        <v>-0.57720000000000005</v>
      </c>
      <c r="H121">
        <f t="shared" si="10"/>
        <v>-0.57999999999999996</v>
      </c>
      <c r="I121">
        <f t="shared" si="11"/>
        <v>-0.57832001522878074</v>
      </c>
      <c r="K121">
        <v>2.4000000000000012</v>
      </c>
      <c r="L121">
        <v>-0.7</v>
      </c>
    </row>
    <row r="122" spans="1:12" x14ac:dyDescent="0.3">
      <c r="A122">
        <v>1.3370473199999999</v>
      </c>
      <c r="B122">
        <v>6.6E-3</v>
      </c>
      <c r="C122">
        <f t="shared" si="6"/>
        <v>-6.6E-3</v>
      </c>
      <c r="E122">
        <f t="shared" si="7"/>
        <v>2.417827237</v>
      </c>
      <c r="F122">
        <f t="shared" si="8"/>
        <v>2.4289692980000002</v>
      </c>
      <c r="G122">
        <f t="shared" si="9"/>
        <v>-0.5827</v>
      </c>
      <c r="H122">
        <f t="shared" si="10"/>
        <v>-0.58520000000000005</v>
      </c>
      <c r="I122">
        <f t="shared" si="11"/>
        <v>-0.58318751371043498</v>
      </c>
      <c r="K122">
        <v>2.4200000000000013</v>
      </c>
      <c r="L122">
        <v>-0.75</v>
      </c>
    </row>
    <row r="123" spans="1:12" x14ac:dyDescent="0.3">
      <c r="A123">
        <v>1.3481893810000001</v>
      </c>
      <c r="B123">
        <v>1.1900000000000001E-2</v>
      </c>
      <c r="C123">
        <f t="shared" si="6"/>
        <v>-1.1900000000000001E-2</v>
      </c>
      <c r="E123">
        <f t="shared" si="7"/>
        <v>2.4289692980000002</v>
      </c>
      <c r="F123">
        <f t="shared" si="8"/>
        <v>2.4401113589999999</v>
      </c>
      <c r="G123">
        <f t="shared" si="9"/>
        <v>-0.58520000000000005</v>
      </c>
      <c r="H123">
        <f t="shared" si="10"/>
        <v>-0.58750000000000002</v>
      </c>
      <c r="I123">
        <f t="shared" si="11"/>
        <v>-0.58747701271784492</v>
      </c>
      <c r="K123">
        <v>2.4400000000000013</v>
      </c>
      <c r="L123">
        <v>-0.5</v>
      </c>
    </row>
    <row r="124" spans="1:12" x14ac:dyDescent="0.3">
      <c r="A124">
        <v>1.359331442</v>
      </c>
      <c r="B124">
        <v>1.72E-2</v>
      </c>
      <c r="C124">
        <f t="shared" si="6"/>
        <v>-1.72E-2</v>
      </c>
      <c r="E124">
        <f t="shared" si="7"/>
        <v>2.45125342</v>
      </c>
      <c r="F124">
        <f t="shared" si="8"/>
        <v>2.4623954810000002</v>
      </c>
      <c r="G124">
        <f t="shared" si="9"/>
        <v>-0.5897</v>
      </c>
      <c r="H124">
        <f t="shared" si="10"/>
        <v>-0.5917</v>
      </c>
      <c r="I124">
        <f t="shared" si="11"/>
        <v>-0.59127001114964295</v>
      </c>
      <c r="K124">
        <v>2.4600000000000013</v>
      </c>
      <c r="L124">
        <v>-0.66</v>
      </c>
    </row>
    <row r="125" spans="1:12" x14ac:dyDescent="0.3">
      <c r="A125">
        <v>1.3704735029999999</v>
      </c>
      <c r="B125">
        <v>2.2499999999999999E-2</v>
      </c>
      <c r="C125">
        <f t="shared" si="6"/>
        <v>-2.2499999999999999E-2</v>
      </c>
      <c r="E125">
        <f t="shared" si="7"/>
        <v>2.4735375419999999</v>
      </c>
      <c r="F125">
        <f t="shared" si="8"/>
        <v>2.484679603</v>
      </c>
      <c r="G125">
        <f t="shared" si="9"/>
        <v>-0.59350000000000003</v>
      </c>
      <c r="H125">
        <f t="shared" si="10"/>
        <v>-0.59509999999999996</v>
      </c>
      <c r="I125">
        <f t="shared" si="11"/>
        <v>-0.59442800899223247</v>
      </c>
      <c r="K125">
        <v>2.4800000000000013</v>
      </c>
      <c r="L125">
        <v>-0.65</v>
      </c>
    </row>
    <row r="126" spans="1:12" x14ac:dyDescent="0.3">
      <c r="A126">
        <v>1.3816155640000001</v>
      </c>
      <c r="B126">
        <v>2.7799999999999998E-2</v>
      </c>
      <c r="C126">
        <f t="shared" si="6"/>
        <v>-2.7799999999999998E-2</v>
      </c>
      <c r="E126">
        <f t="shared" si="7"/>
        <v>2.4958216640000002</v>
      </c>
      <c r="F126">
        <f t="shared" si="8"/>
        <v>2.5069637249999999</v>
      </c>
      <c r="G126">
        <f t="shared" si="9"/>
        <v>-0.59660000000000002</v>
      </c>
      <c r="H126">
        <f t="shared" si="10"/>
        <v>-0.59789999999999999</v>
      </c>
      <c r="I126">
        <f t="shared" si="11"/>
        <v>-0.59708750736510985</v>
      </c>
      <c r="K126">
        <v>2.5000000000000013</v>
      </c>
      <c r="L126">
        <v>-0.72</v>
      </c>
    </row>
    <row r="127" spans="1:12" x14ac:dyDescent="0.3">
      <c r="A127">
        <v>1.392757625</v>
      </c>
      <c r="B127">
        <v>3.32E-2</v>
      </c>
      <c r="C127">
        <f t="shared" si="6"/>
        <v>-3.32E-2</v>
      </c>
      <c r="E127">
        <f t="shared" si="7"/>
        <v>2.518105786</v>
      </c>
      <c r="F127">
        <f t="shared" si="8"/>
        <v>2.5292478470000002</v>
      </c>
      <c r="G127">
        <f t="shared" si="9"/>
        <v>-0.59909999999999997</v>
      </c>
      <c r="H127">
        <f t="shared" si="10"/>
        <v>-0.6</v>
      </c>
      <c r="I127">
        <f t="shared" si="11"/>
        <v>-0.59925300513971358</v>
      </c>
      <c r="K127">
        <v>2.5200000000000014</v>
      </c>
      <c r="L127">
        <v>-0.41</v>
      </c>
    </row>
    <row r="128" spans="1:12" x14ac:dyDescent="0.3">
      <c r="A128">
        <v>1.4038996859999999</v>
      </c>
      <c r="B128">
        <v>3.8600000000000002E-2</v>
      </c>
      <c r="C128">
        <f t="shared" si="6"/>
        <v>-3.8600000000000002E-2</v>
      </c>
      <c r="E128">
        <f t="shared" si="7"/>
        <v>2.5292478470000002</v>
      </c>
      <c r="F128">
        <f t="shared" si="8"/>
        <v>2.5403899079999999</v>
      </c>
      <c r="G128">
        <f t="shared" si="9"/>
        <v>-0.6</v>
      </c>
      <c r="H128">
        <f t="shared" si="10"/>
        <v>-0.6008</v>
      </c>
      <c r="I128">
        <f t="shared" si="11"/>
        <v>-0.60077200460489333</v>
      </c>
      <c r="K128">
        <v>2.5400000000000014</v>
      </c>
      <c r="L128">
        <v>-0.35</v>
      </c>
    </row>
    <row r="129" spans="1:12" x14ac:dyDescent="0.3">
      <c r="A129">
        <v>1.4150417470000001</v>
      </c>
      <c r="B129">
        <v>4.41E-2</v>
      </c>
      <c r="C129">
        <f t="shared" si="6"/>
        <v>-4.41E-2</v>
      </c>
      <c r="E129">
        <f t="shared" si="7"/>
        <v>2.551531969</v>
      </c>
      <c r="F129">
        <f t="shared" si="8"/>
        <v>2.5626740300000002</v>
      </c>
      <c r="G129">
        <f t="shared" si="9"/>
        <v>-0.60129999999999995</v>
      </c>
      <c r="H129">
        <f t="shared" si="10"/>
        <v>-0.60170000000000001</v>
      </c>
      <c r="I129">
        <f t="shared" si="11"/>
        <v>-0.60160400232057609</v>
      </c>
      <c r="K129">
        <v>2.5600000000000014</v>
      </c>
      <c r="L129">
        <v>-0.57999999999999996</v>
      </c>
    </row>
    <row r="130" spans="1:12" x14ac:dyDescent="0.3">
      <c r="A130">
        <v>1.426183808</v>
      </c>
      <c r="B130">
        <v>4.9500000000000002E-2</v>
      </c>
      <c r="C130">
        <f t="shared" si="6"/>
        <v>-4.9500000000000002E-2</v>
      </c>
      <c r="E130">
        <f t="shared" si="7"/>
        <v>2.5738160909999999</v>
      </c>
      <c r="F130">
        <f t="shared" si="8"/>
        <v>2.584958152</v>
      </c>
      <c r="G130">
        <f t="shared" si="9"/>
        <v>-0.60199999999999998</v>
      </c>
      <c r="H130">
        <f t="shared" si="10"/>
        <v>-0.60209999999999997</v>
      </c>
      <c r="I130">
        <f t="shared" si="11"/>
        <v>-0.60205550058467638</v>
      </c>
      <c r="K130">
        <v>2.5800000000000014</v>
      </c>
      <c r="L130">
        <v>-0.77</v>
      </c>
    </row>
    <row r="131" spans="1:12" x14ac:dyDescent="0.3">
      <c r="A131">
        <v>1.4373258689999999</v>
      </c>
      <c r="B131">
        <v>5.5100000000000003E-2</v>
      </c>
      <c r="C131">
        <f t="shared" ref="C131:C194" si="12">B131*-1</f>
        <v>-5.5100000000000003E-2</v>
      </c>
      <c r="E131">
        <f t="shared" ref="E131:E194" si="13">_xlfn.XLOOKUP(K131,A:A,A:A,,-1)</f>
        <v>2.5961002130000002</v>
      </c>
      <c r="F131">
        <f t="shared" ref="F131:F194" si="14">_xlfn.XLOOKUP(K131,A:A,A:A,,1)</f>
        <v>2.6072422739999999</v>
      </c>
      <c r="G131">
        <f t="shared" ref="G131:G194" si="15">_xlfn.XLOOKUP(E131,A:A,C:C,,-1)</f>
        <v>-0.60199999999999998</v>
      </c>
      <c r="H131">
        <f t="shared" ref="H131:H194" si="16">_xlfn.XLOOKUP(F131,A:A,C:C,,1)</f>
        <v>-0.60160000000000002</v>
      </c>
      <c r="I131">
        <f t="shared" ref="I131:I194" si="17">_xlfn.FORECAST.LINEAR(K131,G131:H131,E131:F131)</f>
        <v>-0.60185999764316489</v>
      </c>
      <c r="K131">
        <v>2.6000000000000014</v>
      </c>
      <c r="L131">
        <v>-0.4</v>
      </c>
    </row>
    <row r="132" spans="1:12" x14ac:dyDescent="0.3">
      <c r="A132">
        <v>1.4484679300000001</v>
      </c>
      <c r="B132">
        <v>6.0600000000000001E-2</v>
      </c>
      <c r="C132">
        <f t="shared" si="12"/>
        <v>-6.0600000000000001E-2</v>
      </c>
      <c r="E132">
        <f t="shared" si="13"/>
        <v>2.618384335</v>
      </c>
      <c r="F132">
        <f t="shared" si="14"/>
        <v>2.6295263960000002</v>
      </c>
      <c r="G132">
        <f t="shared" si="15"/>
        <v>-0.60109999999999997</v>
      </c>
      <c r="H132">
        <f t="shared" si="16"/>
        <v>-0.60050000000000003</v>
      </c>
      <c r="I132">
        <f t="shared" si="17"/>
        <v>-0.60095914643619341</v>
      </c>
      <c r="K132">
        <v>2.6210000000000013</v>
      </c>
      <c r="L132">
        <v>-0.5</v>
      </c>
    </row>
    <row r="133" spans="1:12" x14ac:dyDescent="0.3">
      <c r="A133">
        <v>1.459609991</v>
      </c>
      <c r="B133">
        <v>6.6199999999999995E-2</v>
      </c>
      <c r="C133">
        <f t="shared" si="12"/>
        <v>-6.6199999999999995E-2</v>
      </c>
      <c r="E133">
        <f t="shared" si="13"/>
        <v>2.6295263960000002</v>
      </c>
      <c r="F133">
        <f t="shared" si="14"/>
        <v>2.6406684569999999</v>
      </c>
      <c r="G133">
        <f t="shared" si="15"/>
        <v>-0.60050000000000003</v>
      </c>
      <c r="H133">
        <f t="shared" si="16"/>
        <v>-0.59960000000000002</v>
      </c>
      <c r="I133">
        <f t="shared" si="17"/>
        <v>-0.59965399461553814</v>
      </c>
      <c r="K133">
        <v>2.6400000000000015</v>
      </c>
      <c r="L133">
        <v>-0.56000000000000005</v>
      </c>
    </row>
    <row r="134" spans="1:12" x14ac:dyDescent="0.3">
      <c r="A134">
        <v>1.4707520519999999</v>
      </c>
      <c r="B134">
        <v>7.1900000000000006E-2</v>
      </c>
      <c r="C134">
        <f t="shared" si="12"/>
        <v>-7.1900000000000006E-2</v>
      </c>
      <c r="E134">
        <f t="shared" si="13"/>
        <v>2.651810518</v>
      </c>
      <c r="F134">
        <f t="shared" si="14"/>
        <v>2.6629525790000002</v>
      </c>
      <c r="G134">
        <f t="shared" si="15"/>
        <v>-0.59860000000000002</v>
      </c>
      <c r="H134">
        <f t="shared" si="16"/>
        <v>-0.59740000000000004</v>
      </c>
      <c r="I134">
        <f t="shared" si="17"/>
        <v>-0.5977179927663292</v>
      </c>
      <c r="K134">
        <v>2.6600000000000015</v>
      </c>
      <c r="L134">
        <v>-0.59</v>
      </c>
    </row>
    <row r="135" spans="1:12" x14ac:dyDescent="0.3">
      <c r="A135">
        <v>1.4818941130000001</v>
      </c>
      <c r="B135">
        <v>7.7600000000000002E-2</v>
      </c>
      <c r="C135">
        <f t="shared" si="12"/>
        <v>-7.7600000000000002E-2</v>
      </c>
      <c r="E135">
        <f t="shared" si="13"/>
        <v>2.6740946399999999</v>
      </c>
      <c r="F135">
        <f t="shared" si="14"/>
        <v>2.685236701</v>
      </c>
      <c r="G135">
        <f t="shared" si="15"/>
        <v>-0.59589999999999999</v>
      </c>
      <c r="H135">
        <f t="shared" si="16"/>
        <v>-0.59430000000000005</v>
      </c>
      <c r="I135">
        <f t="shared" si="17"/>
        <v>-0.59505199028258748</v>
      </c>
      <c r="K135">
        <v>2.6800000000000015</v>
      </c>
      <c r="L135">
        <v>-0.64</v>
      </c>
    </row>
    <row r="136" spans="1:12" x14ac:dyDescent="0.3">
      <c r="A136">
        <v>1.493036174</v>
      </c>
      <c r="B136">
        <v>8.3299999999999999E-2</v>
      </c>
      <c r="C136">
        <f t="shared" si="12"/>
        <v>-8.3299999999999999E-2</v>
      </c>
      <c r="E136">
        <f t="shared" si="13"/>
        <v>2.6963787620000002</v>
      </c>
      <c r="F136">
        <f t="shared" si="14"/>
        <v>2.7075208229999999</v>
      </c>
      <c r="G136">
        <f t="shared" si="15"/>
        <v>-0.59260000000000002</v>
      </c>
      <c r="H136">
        <f t="shared" si="16"/>
        <v>-0.59060000000000001</v>
      </c>
      <c r="I136">
        <f t="shared" si="17"/>
        <v>-0.59194998776258689</v>
      </c>
      <c r="K136">
        <v>2.7000000000000015</v>
      </c>
      <c r="L136">
        <v>-0.54</v>
      </c>
    </row>
    <row r="137" spans="1:12" x14ac:dyDescent="0.3">
      <c r="A137">
        <v>1.5041782349999999</v>
      </c>
      <c r="B137">
        <v>8.9099999999999999E-2</v>
      </c>
      <c r="C137">
        <f t="shared" si="12"/>
        <v>-8.9099999999999999E-2</v>
      </c>
      <c r="E137">
        <f t="shared" si="13"/>
        <v>2.718662884</v>
      </c>
      <c r="F137">
        <f t="shared" si="14"/>
        <v>2.7298049450000001</v>
      </c>
      <c r="G137">
        <f t="shared" si="15"/>
        <v>-0.58840000000000003</v>
      </c>
      <c r="H137">
        <f t="shared" si="16"/>
        <v>-0.58609999999999995</v>
      </c>
      <c r="I137">
        <f t="shared" si="17"/>
        <v>-0.58812398582273029</v>
      </c>
      <c r="K137">
        <v>2.7200000000000015</v>
      </c>
      <c r="L137">
        <v>-0.56000000000000005</v>
      </c>
    </row>
    <row r="138" spans="1:12" x14ac:dyDescent="0.3">
      <c r="A138">
        <v>1.5153202960000001</v>
      </c>
      <c r="B138">
        <v>9.4899999999999998E-2</v>
      </c>
      <c r="C138">
        <f t="shared" si="12"/>
        <v>-9.4899999999999998E-2</v>
      </c>
      <c r="E138">
        <f t="shared" si="13"/>
        <v>2.7298049450000001</v>
      </c>
      <c r="F138">
        <f t="shared" si="14"/>
        <v>2.7409470059999999</v>
      </c>
      <c r="G138">
        <f t="shared" si="15"/>
        <v>-0.58609999999999995</v>
      </c>
      <c r="H138">
        <f t="shared" si="16"/>
        <v>-0.58350000000000002</v>
      </c>
      <c r="I138">
        <f t="shared" si="17"/>
        <v>-0.5837209838556795</v>
      </c>
      <c r="K138">
        <v>2.7400000000000015</v>
      </c>
      <c r="L138">
        <v>-0.78</v>
      </c>
    </row>
    <row r="139" spans="1:12" x14ac:dyDescent="0.3">
      <c r="A139">
        <v>1.526462357</v>
      </c>
      <c r="B139">
        <v>0.1008</v>
      </c>
      <c r="C139">
        <f t="shared" si="12"/>
        <v>-0.1008</v>
      </c>
      <c r="E139">
        <f t="shared" si="13"/>
        <v>2.752089067</v>
      </c>
      <c r="F139">
        <f t="shared" si="14"/>
        <v>2.7632311280000001</v>
      </c>
      <c r="G139">
        <f t="shared" si="15"/>
        <v>-0.58079999999999998</v>
      </c>
      <c r="H139">
        <f t="shared" si="16"/>
        <v>-0.57789999999999997</v>
      </c>
      <c r="I139">
        <f t="shared" si="17"/>
        <v>-0.57874098186143441</v>
      </c>
      <c r="K139">
        <v>2.7600000000000016</v>
      </c>
      <c r="L139">
        <v>-0.25</v>
      </c>
    </row>
    <row r="140" spans="1:12" x14ac:dyDescent="0.3">
      <c r="A140">
        <v>1.5376044179999999</v>
      </c>
      <c r="B140">
        <v>0.1067</v>
      </c>
      <c r="C140">
        <f t="shared" si="12"/>
        <v>-0.1067</v>
      </c>
      <c r="E140">
        <f t="shared" si="13"/>
        <v>2.7743731889999999</v>
      </c>
      <c r="F140">
        <f t="shared" si="14"/>
        <v>2.78551525</v>
      </c>
      <c r="G140">
        <f t="shared" si="15"/>
        <v>-0.57469999999999999</v>
      </c>
      <c r="H140">
        <f t="shared" si="16"/>
        <v>-0.57140000000000002</v>
      </c>
      <c r="I140">
        <f t="shared" si="17"/>
        <v>-0.57303347920999492</v>
      </c>
      <c r="K140">
        <v>2.7800000000000016</v>
      </c>
      <c r="L140">
        <v>-0.74</v>
      </c>
    </row>
    <row r="141" spans="1:12" x14ac:dyDescent="0.3">
      <c r="A141">
        <v>1.5487464790000001</v>
      </c>
      <c r="B141">
        <v>0.11269999999999999</v>
      </c>
      <c r="C141">
        <f t="shared" si="12"/>
        <v>-0.11269999999999999</v>
      </c>
      <c r="E141">
        <f t="shared" si="13"/>
        <v>2.7966573110000001</v>
      </c>
      <c r="F141">
        <f t="shared" si="14"/>
        <v>2.8077993719999998</v>
      </c>
      <c r="G141">
        <f t="shared" si="15"/>
        <v>-0.56789999999999996</v>
      </c>
      <c r="H141">
        <f t="shared" si="16"/>
        <v>-0.56420000000000003</v>
      </c>
      <c r="I141">
        <f t="shared" si="17"/>
        <v>-0.56678997652229646</v>
      </c>
      <c r="K141">
        <v>2.8000000000000016</v>
      </c>
      <c r="L141">
        <v>-0.71</v>
      </c>
    </row>
    <row r="142" spans="1:12" x14ac:dyDescent="0.3">
      <c r="A142">
        <v>1.55988854</v>
      </c>
      <c r="B142">
        <v>0.1187</v>
      </c>
      <c r="C142">
        <f t="shared" si="12"/>
        <v>-0.1187</v>
      </c>
      <c r="E142">
        <f t="shared" si="13"/>
        <v>2.818941433</v>
      </c>
      <c r="F142">
        <f t="shared" si="14"/>
        <v>2.8300834940000001</v>
      </c>
      <c r="G142">
        <f t="shared" si="15"/>
        <v>-0.56030000000000002</v>
      </c>
      <c r="H142">
        <f t="shared" si="16"/>
        <v>-0.55610000000000004</v>
      </c>
      <c r="I142">
        <f t="shared" si="17"/>
        <v>-0.5599009731592739</v>
      </c>
      <c r="K142">
        <v>2.8200000000000016</v>
      </c>
      <c r="L142">
        <v>-0.65</v>
      </c>
    </row>
    <row r="143" spans="1:12" x14ac:dyDescent="0.3">
      <c r="A143">
        <v>1.5710306009999999</v>
      </c>
      <c r="B143">
        <v>0.12479999999999999</v>
      </c>
      <c r="C143">
        <f t="shared" si="12"/>
        <v>-0.12479999999999999</v>
      </c>
      <c r="E143">
        <f t="shared" si="13"/>
        <v>2.8300834940000001</v>
      </c>
      <c r="F143">
        <f t="shared" si="14"/>
        <v>2.8412255549999998</v>
      </c>
      <c r="G143">
        <f t="shared" si="15"/>
        <v>-0.55610000000000004</v>
      </c>
      <c r="H143">
        <f t="shared" si="16"/>
        <v>-0.55179999999999996</v>
      </c>
      <c r="I143">
        <f t="shared" si="17"/>
        <v>-0.55227297232531658</v>
      </c>
      <c r="K143">
        <v>2.8400000000000016</v>
      </c>
      <c r="L143">
        <v>-0.68</v>
      </c>
    </row>
    <row r="144" spans="1:12" x14ac:dyDescent="0.3">
      <c r="A144">
        <v>1.5821726620000001</v>
      </c>
      <c r="B144">
        <v>0.13089999999999999</v>
      </c>
      <c r="C144">
        <f t="shared" si="12"/>
        <v>-0.13089999999999999</v>
      </c>
      <c r="E144">
        <f t="shared" si="13"/>
        <v>2.852367616</v>
      </c>
      <c r="F144">
        <f t="shared" si="14"/>
        <v>2.8635096770000001</v>
      </c>
      <c r="G144">
        <f t="shared" si="15"/>
        <v>-0.54730000000000001</v>
      </c>
      <c r="H144">
        <f t="shared" si="16"/>
        <v>-0.54259999999999997</v>
      </c>
      <c r="I144">
        <f t="shared" si="17"/>
        <v>-0.54408046953790623</v>
      </c>
      <c r="K144">
        <v>2.8600000000000017</v>
      </c>
      <c r="L144">
        <v>-0.42</v>
      </c>
    </row>
    <row r="145" spans="1:12" x14ac:dyDescent="0.3">
      <c r="A145">
        <v>1.593314723</v>
      </c>
      <c r="B145">
        <v>0.1371</v>
      </c>
      <c r="C145">
        <f t="shared" si="12"/>
        <v>-0.1371</v>
      </c>
      <c r="E145">
        <f t="shared" si="13"/>
        <v>2.8746517379999998</v>
      </c>
      <c r="F145">
        <f t="shared" si="14"/>
        <v>2.885793799</v>
      </c>
      <c r="G145">
        <f t="shared" si="15"/>
        <v>-0.53759999999999997</v>
      </c>
      <c r="H145">
        <f t="shared" si="16"/>
        <v>-0.53239999999999998</v>
      </c>
      <c r="I145">
        <f t="shared" si="17"/>
        <v>-0.53510396606157418</v>
      </c>
      <c r="K145">
        <v>2.8800000000000017</v>
      </c>
      <c r="L145">
        <v>-0.84</v>
      </c>
    </row>
    <row r="146" spans="1:12" x14ac:dyDescent="0.3">
      <c r="A146">
        <v>1.6044567839999999</v>
      </c>
      <c r="B146">
        <v>0.14330000000000001</v>
      </c>
      <c r="C146">
        <f t="shared" si="12"/>
        <v>-0.14330000000000001</v>
      </c>
      <c r="E146">
        <f t="shared" si="13"/>
        <v>2.8969358600000001</v>
      </c>
      <c r="F146">
        <f t="shared" si="14"/>
        <v>2.9080779209999998</v>
      </c>
      <c r="G146">
        <f t="shared" si="15"/>
        <v>-0.52710000000000001</v>
      </c>
      <c r="H146">
        <f t="shared" si="16"/>
        <v>-0.52149999999999996</v>
      </c>
      <c r="I146">
        <f t="shared" si="17"/>
        <v>-0.52555996319711307</v>
      </c>
      <c r="K146">
        <v>2.9000000000000017</v>
      </c>
      <c r="L146">
        <v>-0.52</v>
      </c>
    </row>
    <row r="147" spans="1:12" x14ac:dyDescent="0.3">
      <c r="A147">
        <v>1.6155988450000001</v>
      </c>
      <c r="B147">
        <v>0.14960000000000001</v>
      </c>
      <c r="C147">
        <f t="shared" si="12"/>
        <v>-0.14960000000000001</v>
      </c>
      <c r="E147">
        <f t="shared" si="13"/>
        <v>2.919219982</v>
      </c>
      <c r="F147">
        <f t="shared" si="14"/>
        <v>2.9303620430000001</v>
      </c>
      <c r="G147">
        <f t="shared" si="15"/>
        <v>-0.51570000000000005</v>
      </c>
      <c r="H147">
        <f t="shared" si="16"/>
        <v>-0.50970000000000004</v>
      </c>
      <c r="I147">
        <f t="shared" si="17"/>
        <v>-0.51527996029639311</v>
      </c>
      <c r="K147">
        <v>2.9200000000000017</v>
      </c>
      <c r="L147">
        <v>-0.17</v>
      </c>
    </row>
    <row r="148" spans="1:12" x14ac:dyDescent="0.3">
      <c r="A148">
        <v>1.626740906</v>
      </c>
      <c r="B148">
        <v>0.156</v>
      </c>
      <c r="C148">
        <f t="shared" si="12"/>
        <v>-0.156</v>
      </c>
      <c r="E148">
        <f t="shared" si="13"/>
        <v>2.9303620430000001</v>
      </c>
      <c r="F148">
        <f t="shared" si="14"/>
        <v>2.9415041039999998</v>
      </c>
      <c r="G148">
        <f t="shared" si="15"/>
        <v>-0.50970000000000004</v>
      </c>
      <c r="H148">
        <f t="shared" si="16"/>
        <v>-0.50349999999999995</v>
      </c>
      <c r="I148">
        <f t="shared" si="17"/>
        <v>-0.50433695869193218</v>
      </c>
      <c r="K148">
        <v>2.9400000000000017</v>
      </c>
      <c r="L148">
        <v>-0.54</v>
      </c>
    </row>
    <row r="149" spans="1:12" x14ac:dyDescent="0.3">
      <c r="A149">
        <v>1.6378829669999999</v>
      </c>
      <c r="B149">
        <v>0.16239999999999999</v>
      </c>
      <c r="C149">
        <f t="shared" si="12"/>
        <v>-0.16239999999999999</v>
      </c>
      <c r="E149">
        <f t="shared" si="13"/>
        <v>2.952646165</v>
      </c>
      <c r="F149">
        <f t="shared" si="14"/>
        <v>2.9637882260000001</v>
      </c>
      <c r="G149">
        <f t="shared" si="15"/>
        <v>-0.497</v>
      </c>
      <c r="H149">
        <f t="shared" si="16"/>
        <v>-0.49030000000000001</v>
      </c>
      <c r="I149">
        <f t="shared" si="17"/>
        <v>-0.49257795505696733</v>
      </c>
      <c r="K149">
        <v>2.9600000000000017</v>
      </c>
      <c r="L149">
        <v>-0.45</v>
      </c>
    </row>
    <row r="150" spans="1:12" x14ac:dyDescent="0.3">
      <c r="A150">
        <v>1.6490250280000001</v>
      </c>
      <c r="B150">
        <v>0.16880000000000001</v>
      </c>
      <c r="C150">
        <f t="shared" si="12"/>
        <v>-0.16880000000000001</v>
      </c>
      <c r="E150">
        <f t="shared" si="13"/>
        <v>2.9749302869999998</v>
      </c>
      <c r="F150">
        <f t="shared" si="14"/>
        <v>2.986072348</v>
      </c>
      <c r="G150">
        <f t="shared" si="15"/>
        <v>-0.4834</v>
      </c>
      <c r="H150">
        <f t="shared" si="16"/>
        <v>-0.4763</v>
      </c>
      <c r="I150">
        <f t="shared" si="17"/>
        <v>-0.48016945205200257</v>
      </c>
      <c r="K150">
        <v>2.9800000000000018</v>
      </c>
      <c r="L150">
        <v>-0.52</v>
      </c>
    </row>
    <row r="151" spans="1:12" x14ac:dyDescent="0.3">
      <c r="A151">
        <v>1.660167089</v>
      </c>
      <c r="B151">
        <v>0.17530000000000001</v>
      </c>
      <c r="C151">
        <f t="shared" si="12"/>
        <v>-0.17530000000000001</v>
      </c>
      <c r="E151">
        <f t="shared" si="13"/>
        <v>2.9972144090000001</v>
      </c>
      <c r="F151">
        <f t="shared" si="14"/>
        <v>3.0083564699999998</v>
      </c>
      <c r="G151">
        <f t="shared" si="15"/>
        <v>-0.46899999999999997</v>
      </c>
      <c r="H151">
        <f t="shared" si="16"/>
        <v>-0.46139999999999998</v>
      </c>
      <c r="I151">
        <f t="shared" si="17"/>
        <v>-0.46709994833092239</v>
      </c>
      <c r="K151">
        <v>3.0000000000000018</v>
      </c>
      <c r="L151">
        <v>-0.48</v>
      </c>
    </row>
    <row r="152" spans="1:12" x14ac:dyDescent="0.3">
      <c r="A152">
        <v>1.6713091499999999</v>
      </c>
      <c r="B152">
        <v>0.18190000000000001</v>
      </c>
      <c r="C152">
        <f t="shared" si="12"/>
        <v>-0.18190000000000001</v>
      </c>
      <c r="E152">
        <f t="shared" si="13"/>
        <v>3.019498531</v>
      </c>
      <c r="F152">
        <f t="shared" si="14"/>
        <v>3.0306405920000001</v>
      </c>
      <c r="G152">
        <f t="shared" si="15"/>
        <v>-0.4536</v>
      </c>
      <c r="H152">
        <f t="shared" si="16"/>
        <v>-0.44550000000000001</v>
      </c>
      <c r="I152">
        <f t="shared" si="17"/>
        <v>-0.45323544456451836</v>
      </c>
      <c r="K152">
        <v>3.0200000000000018</v>
      </c>
      <c r="L152">
        <v>-0.21</v>
      </c>
    </row>
    <row r="153" spans="1:12" x14ac:dyDescent="0.3">
      <c r="A153">
        <v>1.6824512110000001</v>
      </c>
      <c r="B153">
        <v>0.18840000000000001</v>
      </c>
      <c r="C153">
        <f t="shared" si="12"/>
        <v>-0.18840000000000001</v>
      </c>
      <c r="E153">
        <f t="shared" si="13"/>
        <v>3.0306405920000001</v>
      </c>
      <c r="F153">
        <f t="shared" si="14"/>
        <v>3.0417826529999998</v>
      </c>
      <c r="G153">
        <f t="shared" si="15"/>
        <v>-0.44550000000000001</v>
      </c>
      <c r="H153">
        <f t="shared" si="16"/>
        <v>-0.43719999999999998</v>
      </c>
      <c r="I153">
        <f t="shared" si="17"/>
        <v>-0.43852794281955365</v>
      </c>
      <c r="K153">
        <v>3.0400000000000018</v>
      </c>
      <c r="L153">
        <v>-0.1</v>
      </c>
    </row>
    <row r="154" spans="1:12" x14ac:dyDescent="0.3">
      <c r="A154">
        <v>1.693593272</v>
      </c>
      <c r="B154">
        <v>0.1951</v>
      </c>
      <c r="C154">
        <f t="shared" si="12"/>
        <v>-0.1951</v>
      </c>
      <c r="E154">
        <f t="shared" si="13"/>
        <v>3.052924714</v>
      </c>
      <c r="F154">
        <f t="shared" si="14"/>
        <v>3.0640667750000001</v>
      </c>
      <c r="G154">
        <f t="shared" si="15"/>
        <v>-0.42870000000000003</v>
      </c>
      <c r="H154">
        <f t="shared" si="16"/>
        <v>-0.42</v>
      </c>
      <c r="I154">
        <f t="shared" si="17"/>
        <v>-0.42317543966955329</v>
      </c>
      <c r="K154">
        <v>3.0600000000000018</v>
      </c>
      <c r="L154">
        <v>-0.37</v>
      </c>
    </row>
    <row r="155" spans="1:12" x14ac:dyDescent="0.3">
      <c r="A155">
        <v>1.7047353329999999</v>
      </c>
      <c r="B155">
        <v>0.20180000000000001</v>
      </c>
      <c r="C155">
        <f t="shared" si="12"/>
        <v>-0.20180000000000001</v>
      </c>
      <c r="E155">
        <f t="shared" si="13"/>
        <v>3.0752088359999998</v>
      </c>
      <c r="F155">
        <f t="shared" si="14"/>
        <v>3.086350897</v>
      </c>
      <c r="G155">
        <f t="shared" si="15"/>
        <v>-0.41099999999999998</v>
      </c>
      <c r="H155">
        <f t="shared" si="16"/>
        <v>-0.4017</v>
      </c>
      <c r="I155">
        <f t="shared" si="17"/>
        <v>-0.40700093508732182</v>
      </c>
      <c r="K155">
        <v>3.0800000000000018</v>
      </c>
      <c r="L155">
        <v>-0.35</v>
      </c>
    </row>
    <row r="156" spans="1:12" x14ac:dyDescent="0.3">
      <c r="A156">
        <v>1.7158773940000001</v>
      </c>
      <c r="B156">
        <v>0.20849999999999999</v>
      </c>
      <c r="C156">
        <f t="shared" si="12"/>
        <v>-0.20849999999999999</v>
      </c>
      <c r="E156">
        <f t="shared" si="13"/>
        <v>3.0974929580000001</v>
      </c>
      <c r="F156">
        <f t="shared" si="14"/>
        <v>3.1086350189999998</v>
      </c>
      <c r="G156">
        <f t="shared" si="15"/>
        <v>-0.39219999999999999</v>
      </c>
      <c r="H156">
        <f t="shared" si="16"/>
        <v>-0.38240000000000002</v>
      </c>
      <c r="I156">
        <f t="shared" si="17"/>
        <v>-0.38999493115322048</v>
      </c>
      <c r="K156">
        <v>3.1000000000000019</v>
      </c>
      <c r="L156">
        <v>0.03</v>
      </c>
    </row>
    <row r="157" spans="1:12" x14ac:dyDescent="0.3">
      <c r="A157">
        <v>1.727019455</v>
      </c>
      <c r="B157">
        <v>0.21529999999999999</v>
      </c>
      <c r="C157">
        <f t="shared" si="12"/>
        <v>-0.21529999999999999</v>
      </c>
      <c r="E157">
        <f t="shared" si="13"/>
        <v>3.11977708</v>
      </c>
      <c r="F157">
        <f t="shared" si="14"/>
        <v>3.1309191410000001</v>
      </c>
      <c r="G157">
        <f t="shared" si="15"/>
        <v>-0.37240000000000001</v>
      </c>
      <c r="H157">
        <f t="shared" si="16"/>
        <v>-0.36220000000000002</v>
      </c>
      <c r="I157">
        <f t="shared" si="17"/>
        <v>-0.37219592788084555</v>
      </c>
      <c r="K157">
        <v>3.1200000000000019</v>
      </c>
      <c r="L157">
        <v>0.22</v>
      </c>
    </row>
    <row r="158" spans="1:12" x14ac:dyDescent="0.3">
      <c r="A158">
        <v>1.7381615159999999</v>
      </c>
      <c r="B158">
        <v>0.22209999999999999</v>
      </c>
      <c r="C158">
        <f t="shared" si="12"/>
        <v>-0.22209999999999999</v>
      </c>
      <c r="E158">
        <f t="shared" si="13"/>
        <v>3.1309191410000001</v>
      </c>
      <c r="F158">
        <f t="shared" si="14"/>
        <v>3.1420612019999998</v>
      </c>
      <c r="G158">
        <f t="shared" si="15"/>
        <v>-0.36220000000000002</v>
      </c>
      <c r="H158">
        <f t="shared" si="16"/>
        <v>-0.35160000000000002</v>
      </c>
      <c r="I158">
        <f t="shared" si="17"/>
        <v>-0.35356092457221155</v>
      </c>
      <c r="K158">
        <v>3.1400000000000019</v>
      </c>
      <c r="L158">
        <v>-0.18</v>
      </c>
    </row>
    <row r="159" spans="1:12" x14ac:dyDescent="0.3">
      <c r="A159">
        <v>1.7493035770000001</v>
      </c>
      <c r="B159">
        <v>0.22900000000000001</v>
      </c>
      <c r="C159">
        <f t="shared" si="12"/>
        <v>-0.22900000000000001</v>
      </c>
      <c r="E159">
        <f t="shared" si="13"/>
        <v>3.153203263</v>
      </c>
      <c r="F159">
        <f t="shared" si="14"/>
        <v>3.1643453240000001</v>
      </c>
      <c r="G159">
        <f t="shared" si="15"/>
        <v>-0.34079999999999999</v>
      </c>
      <c r="H159">
        <f t="shared" si="16"/>
        <v>-0.32979999999999998</v>
      </c>
      <c r="I159">
        <f t="shared" si="17"/>
        <v>-0.33408992122731895</v>
      </c>
      <c r="K159">
        <v>3.1600000000000019</v>
      </c>
      <c r="L159">
        <v>-0.31</v>
      </c>
    </row>
    <row r="160" spans="1:12" x14ac:dyDescent="0.3">
      <c r="A160">
        <v>1.760445638</v>
      </c>
      <c r="B160">
        <v>0.2359</v>
      </c>
      <c r="C160">
        <f t="shared" si="12"/>
        <v>-0.2359</v>
      </c>
      <c r="E160">
        <f t="shared" si="13"/>
        <v>3.1754873849999998</v>
      </c>
      <c r="F160">
        <f t="shared" si="14"/>
        <v>3.186629446</v>
      </c>
      <c r="G160">
        <f t="shared" si="15"/>
        <v>-0.31850000000000001</v>
      </c>
      <c r="H160">
        <f t="shared" si="16"/>
        <v>-0.30690000000000001</v>
      </c>
      <c r="I160">
        <f t="shared" si="17"/>
        <v>-0.31380191640487132</v>
      </c>
      <c r="K160">
        <v>3.1800000000000019</v>
      </c>
      <c r="L160">
        <v>0.03</v>
      </c>
    </row>
    <row r="161" spans="1:12" x14ac:dyDescent="0.3">
      <c r="A161">
        <v>1.7715876989999999</v>
      </c>
      <c r="B161">
        <v>0.24279999999999999</v>
      </c>
      <c r="C161">
        <f t="shared" si="12"/>
        <v>-0.24279999999999999</v>
      </c>
      <c r="E161">
        <f t="shared" si="13"/>
        <v>3.1977715070000001</v>
      </c>
      <c r="F161">
        <f t="shared" si="14"/>
        <v>3.2089135679999998</v>
      </c>
      <c r="G161">
        <f t="shared" si="15"/>
        <v>-0.29509999999999997</v>
      </c>
      <c r="H161">
        <f t="shared" si="16"/>
        <v>-0.28310000000000002</v>
      </c>
      <c r="I161">
        <f t="shared" si="17"/>
        <v>-0.29269991297839582</v>
      </c>
      <c r="K161">
        <v>3.200000000000002</v>
      </c>
      <c r="L161">
        <v>-0.22</v>
      </c>
    </row>
    <row r="162" spans="1:12" x14ac:dyDescent="0.3">
      <c r="A162">
        <v>1.7827297600000001</v>
      </c>
      <c r="B162">
        <v>0.24979999999999999</v>
      </c>
      <c r="C162">
        <f t="shared" si="12"/>
        <v>-0.24979999999999999</v>
      </c>
      <c r="E162">
        <f t="shared" si="13"/>
        <v>3.2089135679999998</v>
      </c>
      <c r="F162">
        <f t="shared" si="14"/>
        <v>3.220055629</v>
      </c>
      <c r="G162">
        <f t="shared" si="15"/>
        <v>-0.28310000000000002</v>
      </c>
      <c r="H162">
        <f t="shared" si="16"/>
        <v>-0.2707</v>
      </c>
      <c r="I162">
        <f t="shared" si="17"/>
        <v>-0.27076190951566081</v>
      </c>
      <c r="K162">
        <v>3.220000000000002</v>
      </c>
      <c r="L162">
        <v>-0.03</v>
      </c>
    </row>
    <row r="163" spans="1:12" x14ac:dyDescent="0.3">
      <c r="A163">
        <v>1.793871821</v>
      </c>
      <c r="B163">
        <v>0.25679999999999997</v>
      </c>
      <c r="C163">
        <f t="shared" si="12"/>
        <v>-0.25679999999999997</v>
      </c>
      <c r="E163">
        <f t="shared" si="13"/>
        <v>3.2311976900000001</v>
      </c>
      <c r="F163">
        <f t="shared" si="14"/>
        <v>3.2423397509999998</v>
      </c>
      <c r="G163">
        <f t="shared" si="15"/>
        <v>-0.2581</v>
      </c>
      <c r="H163">
        <f t="shared" si="16"/>
        <v>-0.2452</v>
      </c>
      <c r="I163">
        <f t="shared" si="17"/>
        <v>-0.2479089052824226</v>
      </c>
      <c r="K163">
        <v>3.240000000000002</v>
      </c>
      <c r="L163">
        <v>0.1</v>
      </c>
    </row>
    <row r="164" spans="1:12" x14ac:dyDescent="0.3">
      <c r="A164">
        <v>1.8050138819999999</v>
      </c>
      <c r="B164">
        <v>0.26379999999999998</v>
      </c>
      <c r="C164">
        <f t="shared" si="12"/>
        <v>-0.26379999999999998</v>
      </c>
      <c r="E164">
        <f t="shared" si="13"/>
        <v>3.253481812</v>
      </c>
      <c r="F164">
        <f t="shared" si="14"/>
        <v>3.2646238730000001</v>
      </c>
      <c r="G164">
        <f t="shared" si="15"/>
        <v>-0.23200000000000001</v>
      </c>
      <c r="H164">
        <f t="shared" si="16"/>
        <v>-0.21859999999999999</v>
      </c>
      <c r="I164">
        <f t="shared" si="17"/>
        <v>-0.22295825097349331</v>
      </c>
      <c r="K164">
        <v>3.2610000000000019</v>
      </c>
      <c r="L164">
        <v>0.39</v>
      </c>
    </row>
    <row r="165" spans="1:12" x14ac:dyDescent="0.3">
      <c r="A165">
        <v>1.8161559430000001</v>
      </c>
      <c r="B165">
        <v>0.27089999999999997</v>
      </c>
      <c r="C165">
        <f t="shared" si="12"/>
        <v>-0.27089999999999997</v>
      </c>
      <c r="E165">
        <f t="shared" si="13"/>
        <v>3.2757659339999998</v>
      </c>
      <c r="F165">
        <f t="shared" si="14"/>
        <v>3.286907995</v>
      </c>
      <c r="G165">
        <f t="shared" si="15"/>
        <v>-0.2049</v>
      </c>
      <c r="H165">
        <f t="shared" si="16"/>
        <v>-0.191</v>
      </c>
      <c r="I165">
        <f t="shared" si="17"/>
        <v>-0.19961789667997376</v>
      </c>
      <c r="K165">
        <v>3.280000000000002</v>
      </c>
      <c r="L165">
        <v>-0.22</v>
      </c>
    </row>
    <row r="166" spans="1:12" x14ac:dyDescent="0.3">
      <c r="A166">
        <v>1.827298004</v>
      </c>
      <c r="B166">
        <v>0.27800000000000002</v>
      </c>
      <c r="C166">
        <f t="shared" si="12"/>
        <v>-0.27800000000000002</v>
      </c>
      <c r="E166">
        <f t="shared" si="13"/>
        <v>3.2980500560000001</v>
      </c>
      <c r="F166">
        <f t="shared" si="14"/>
        <v>3.3091921169999998</v>
      </c>
      <c r="G166">
        <f t="shared" si="15"/>
        <v>-0.1767</v>
      </c>
      <c r="H166">
        <f t="shared" si="16"/>
        <v>-0.16220000000000001</v>
      </c>
      <c r="I166">
        <f t="shared" si="17"/>
        <v>-0.17416239156292335</v>
      </c>
      <c r="K166">
        <v>3.300000000000002</v>
      </c>
      <c r="L166">
        <v>0.27</v>
      </c>
    </row>
    <row r="167" spans="1:12" x14ac:dyDescent="0.3">
      <c r="A167">
        <v>1.8384400649999999</v>
      </c>
      <c r="B167">
        <v>0.28510000000000002</v>
      </c>
      <c r="C167">
        <f t="shared" si="12"/>
        <v>-0.28510000000000002</v>
      </c>
      <c r="E167">
        <f t="shared" si="13"/>
        <v>3.3091921169999998</v>
      </c>
      <c r="F167">
        <f t="shared" si="14"/>
        <v>3.320334178</v>
      </c>
      <c r="G167">
        <f t="shared" si="15"/>
        <v>-0.16220000000000001</v>
      </c>
      <c r="H167">
        <f t="shared" si="16"/>
        <v>-0.14749999999999999</v>
      </c>
      <c r="I167">
        <f t="shared" si="17"/>
        <v>-0.14794088940097971</v>
      </c>
      <c r="K167">
        <v>3.3200000000000021</v>
      </c>
      <c r="L167">
        <v>0.1</v>
      </c>
    </row>
    <row r="168" spans="1:12" x14ac:dyDescent="0.3">
      <c r="A168">
        <v>1.849582126</v>
      </c>
      <c r="B168">
        <v>0.2923</v>
      </c>
      <c r="C168">
        <f t="shared" si="12"/>
        <v>-0.2923</v>
      </c>
      <c r="E168">
        <f t="shared" si="13"/>
        <v>3.3314762390000001</v>
      </c>
      <c r="F168">
        <f t="shared" si="14"/>
        <v>3.3426182999999998</v>
      </c>
      <c r="G168">
        <f t="shared" si="15"/>
        <v>-0.13239999999999999</v>
      </c>
      <c r="H168">
        <f t="shared" si="16"/>
        <v>-0.1171</v>
      </c>
      <c r="I168">
        <f t="shared" si="17"/>
        <v>-0.12069538419328119</v>
      </c>
      <c r="K168">
        <v>3.3400000000000021</v>
      </c>
      <c r="L168">
        <v>0.05</v>
      </c>
    </row>
    <row r="169" spans="1:12" x14ac:dyDescent="0.3">
      <c r="A169">
        <v>1.860724187</v>
      </c>
      <c r="B169">
        <v>0.2994</v>
      </c>
      <c r="C169">
        <f t="shared" si="12"/>
        <v>-0.2994</v>
      </c>
      <c r="E169">
        <f t="shared" si="13"/>
        <v>3.353760361</v>
      </c>
      <c r="F169">
        <f t="shared" si="14"/>
        <v>3.3649024220000001</v>
      </c>
      <c r="G169">
        <f t="shared" si="15"/>
        <v>-0.1016</v>
      </c>
      <c r="H169">
        <f t="shared" si="16"/>
        <v>-8.5800000000000001E-2</v>
      </c>
      <c r="I169">
        <f t="shared" si="17"/>
        <v>-9.2751879692632322E-2</v>
      </c>
      <c r="K169">
        <v>3.3600000000000021</v>
      </c>
      <c r="L169">
        <v>-0.08</v>
      </c>
    </row>
    <row r="170" spans="1:12" x14ac:dyDescent="0.3">
      <c r="A170">
        <v>1.8718662479999999</v>
      </c>
      <c r="B170">
        <v>0.30659999999999998</v>
      </c>
      <c r="C170">
        <f t="shared" si="12"/>
        <v>-0.30659999999999998</v>
      </c>
      <c r="E170">
        <f t="shared" si="13"/>
        <v>3.3760444829999998</v>
      </c>
      <c r="F170">
        <f t="shared" si="14"/>
        <v>3.387186544</v>
      </c>
      <c r="G170">
        <f t="shared" si="15"/>
        <v>-6.9699999999999998E-2</v>
      </c>
      <c r="H170">
        <f t="shared" si="16"/>
        <v>-5.3499999999999999E-2</v>
      </c>
      <c r="I170">
        <f t="shared" si="17"/>
        <v>-6.3948875912631209E-2</v>
      </c>
      <c r="K170">
        <v>3.3800000000000021</v>
      </c>
      <c r="L170">
        <v>0.11</v>
      </c>
    </row>
    <row r="171" spans="1:12" x14ac:dyDescent="0.3">
      <c r="A171">
        <v>1.883008309</v>
      </c>
      <c r="B171">
        <v>0.31369999999999998</v>
      </c>
      <c r="C171">
        <f t="shared" si="12"/>
        <v>-0.31369999999999998</v>
      </c>
      <c r="E171">
        <f t="shared" si="13"/>
        <v>3.3983286050000001</v>
      </c>
      <c r="F171">
        <f t="shared" si="14"/>
        <v>3.4094706659999998</v>
      </c>
      <c r="G171">
        <f t="shared" si="15"/>
        <v>-3.6900000000000002E-2</v>
      </c>
      <c r="H171">
        <f t="shared" si="16"/>
        <v>-2.01E-2</v>
      </c>
      <c r="I171">
        <f t="shared" si="17"/>
        <v>-3.4379870555364178E-2</v>
      </c>
      <c r="K171">
        <v>3.4000000000000021</v>
      </c>
      <c r="L171">
        <v>0.09</v>
      </c>
    </row>
    <row r="172" spans="1:12" x14ac:dyDescent="0.3">
      <c r="A172">
        <v>1.89415037</v>
      </c>
      <c r="B172">
        <v>0.32090000000000002</v>
      </c>
      <c r="C172">
        <f t="shared" si="12"/>
        <v>-0.32090000000000002</v>
      </c>
      <c r="E172">
        <f t="shared" si="13"/>
        <v>3.4094706659999998</v>
      </c>
      <c r="F172">
        <f t="shared" si="14"/>
        <v>3.420612727</v>
      </c>
      <c r="G172">
        <f t="shared" si="15"/>
        <v>-2.01E-2</v>
      </c>
      <c r="H172">
        <f t="shared" si="16"/>
        <v>-3.2000000000000002E-3</v>
      </c>
      <c r="I172">
        <f t="shared" si="17"/>
        <v>-4.1293690188890508E-3</v>
      </c>
      <c r="K172">
        <v>3.4200000000000021</v>
      </c>
      <c r="L172">
        <v>0.31</v>
      </c>
    </row>
    <row r="173" spans="1:12" x14ac:dyDescent="0.3">
      <c r="A173">
        <v>1.9052924309999999</v>
      </c>
      <c r="B173">
        <v>0.3281</v>
      </c>
      <c r="C173">
        <f t="shared" si="12"/>
        <v>-0.3281</v>
      </c>
      <c r="E173">
        <f t="shared" si="13"/>
        <v>3.4317547880000001</v>
      </c>
      <c r="F173">
        <f t="shared" si="14"/>
        <v>3.4428968489999998</v>
      </c>
      <c r="G173">
        <f t="shared" si="15"/>
        <v>1.41E-2</v>
      </c>
      <c r="H173">
        <f t="shared" si="16"/>
        <v>3.15E-2</v>
      </c>
      <c r="I173">
        <f t="shared" si="17"/>
        <v>2.6976135644925847E-2</v>
      </c>
      <c r="K173">
        <v>3.4400000000000022</v>
      </c>
      <c r="L173">
        <v>-0.08</v>
      </c>
    </row>
    <row r="174" spans="1:12" x14ac:dyDescent="0.3">
      <c r="A174">
        <v>1.916434492</v>
      </c>
      <c r="B174">
        <v>0.33529999999999999</v>
      </c>
      <c r="C174">
        <f t="shared" si="12"/>
        <v>-0.33529999999999999</v>
      </c>
      <c r="E174">
        <f t="shared" si="13"/>
        <v>3.45403891</v>
      </c>
      <c r="F174">
        <f t="shared" si="14"/>
        <v>3.4651809710000001</v>
      </c>
      <c r="G174">
        <f t="shared" si="15"/>
        <v>4.9099999999999998E-2</v>
      </c>
      <c r="H174">
        <f t="shared" si="16"/>
        <v>6.7000000000000004E-2</v>
      </c>
      <c r="I174">
        <f t="shared" si="17"/>
        <v>5.8676640354063281E-2</v>
      </c>
      <c r="K174">
        <v>3.4600000000000022</v>
      </c>
      <c r="L174">
        <v>0.13</v>
      </c>
    </row>
    <row r="175" spans="1:12" x14ac:dyDescent="0.3">
      <c r="A175">
        <v>1.927576553</v>
      </c>
      <c r="B175">
        <v>0.34239999999999998</v>
      </c>
      <c r="C175">
        <f t="shared" si="12"/>
        <v>-0.34239999999999998</v>
      </c>
      <c r="E175">
        <f t="shared" si="13"/>
        <v>3.4763230319999998</v>
      </c>
      <c r="F175">
        <f t="shared" si="14"/>
        <v>3.487465093</v>
      </c>
      <c r="G175">
        <f t="shared" si="15"/>
        <v>8.5099999999999995E-2</v>
      </c>
      <c r="H175">
        <f t="shared" si="16"/>
        <v>0.1032</v>
      </c>
      <c r="I175">
        <f t="shared" si="17"/>
        <v>9.1073142742625457E-2</v>
      </c>
      <c r="K175">
        <v>3.4800000000000022</v>
      </c>
      <c r="L175">
        <v>0.52</v>
      </c>
    </row>
    <row r="176" spans="1:12" x14ac:dyDescent="0.3">
      <c r="A176">
        <v>1.9387186139999999</v>
      </c>
      <c r="B176">
        <v>0.34960000000000002</v>
      </c>
      <c r="C176">
        <f t="shared" si="12"/>
        <v>-0.34960000000000002</v>
      </c>
      <c r="E176">
        <f t="shared" si="13"/>
        <v>3.4986071540000001</v>
      </c>
      <c r="F176">
        <f t="shared" si="14"/>
        <v>3.5097492149999998</v>
      </c>
      <c r="G176">
        <f t="shared" si="15"/>
        <v>0.1216</v>
      </c>
      <c r="H176">
        <f t="shared" si="16"/>
        <v>0.14019999999999999</v>
      </c>
      <c r="I176">
        <f t="shared" si="17"/>
        <v>0.12392514752881301</v>
      </c>
      <c r="K176">
        <v>3.5000000000000022</v>
      </c>
      <c r="L176">
        <v>0.36</v>
      </c>
    </row>
    <row r="177" spans="1:12" x14ac:dyDescent="0.3">
      <c r="A177">
        <v>1.949860675</v>
      </c>
      <c r="B177">
        <v>0.35670000000000002</v>
      </c>
      <c r="C177">
        <f t="shared" si="12"/>
        <v>-0.35670000000000002</v>
      </c>
      <c r="E177">
        <f t="shared" si="13"/>
        <v>3.5097492149999998</v>
      </c>
      <c r="F177">
        <f t="shared" si="14"/>
        <v>3.520891276</v>
      </c>
      <c r="G177">
        <f t="shared" si="15"/>
        <v>0.14019999999999999</v>
      </c>
      <c r="H177">
        <f t="shared" si="16"/>
        <v>0.1588</v>
      </c>
      <c r="I177">
        <f t="shared" si="17"/>
        <v>0.15731214837183494</v>
      </c>
      <c r="K177">
        <v>3.5200000000000022</v>
      </c>
      <c r="L177">
        <v>0.16</v>
      </c>
    </row>
    <row r="178" spans="1:12" x14ac:dyDescent="0.3">
      <c r="A178">
        <v>1.961002736</v>
      </c>
      <c r="B178">
        <v>0.36380000000000001</v>
      </c>
      <c r="C178">
        <f t="shared" si="12"/>
        <v>-0.36380000000000001</v>
      </c>
      <c r="E178">
        <f t="shared" si="13"/>
        <v>3.5320333370000001</v>
      </c>
      <c r="F178">
        <f t="shared" si="14"/>
        <v>3.5431753979999998</v>
      </c>
      <c r="G178">
        <f t="shared" si="15"/>
        <v>0.17760000000000001</v>
      </c>
      <c r="H178">
        <f t="shared" si="16"/>
        <v>0.19650000000000001</v>
      </c>
      <c r="I178">
        <f t="shared" si="17"/>
        <v>0.19111365162154925</v>
      </c>
      <c r="K178">
        <v>3.5400000000000023</v>
      </c>
      <c r="L178">
        <v>0.95</v>
      </c>
    </row>
    <row r="179" spans="1:12" x14ac:dyDescent="0.3">
      <c r="A179">
        <v>1.9721447969999999</v>
      </c>
      <c r="B179">
        <v>0.37090000000000001</v>
      </c>
      <c r="C179">
        <f t="shared" si="12"/>
        <v>-0.37090000000000001</v>
      </c>
      <c r="E179">
        <f t="shared" si="13"/>
        <v>3.554317459</v>
      </c>
      <c r="F179">
        <f t="shared" si="14"/>
        <v>3.5654595200000001</v>
      </c>
      <c r="G179">
        <f t="shared" si="15"/>
        <v>0.2155</v>
      </c>
      <c r="H179">
        <f t="shared" si="16"/>
        <v>0.2346</v>
      </c>
      <c r="I179">
        <f t="shared" si="17"/>
        <v>0.22695537913497699</v>
      </c>
      <c r="K179">
        <v>3.5610000000000022</v>
      </c>
      <c r="L179">
        <v>0.3</v>
      </c>
    </row>
    <row r="180" spans="1:12" x14ac:dyDescent="0.3">
      <c r="A180">
        <v>1.983286858</v>
      </c>
      <c r="B180">
        <v>0.378</v>
      </c>
      <c r="C180">
        <f t="shared" si="12"/>
        <v>-0.378</v>
      </c>
      <c r="E180">
        <f t="shared" si="13"/>
        <v>3.5766015809999998</v>
      </c>
      <c r="F180">
        <f t="shared" si="14"/>
        <v>3.587743642</v>
      </c>
      <c r="G180">
        <f t="shared" si="15"/>
        <v>0.25369999999999998</v>
      </c>
      <c r="H180">
        <f t="shared" si="16"/>
        <v>0.27279999999999999</v>
      </c>
      <c r="I180">
        <f t="shared" si="17"/>
        <v>0.25952565495737723</v>
      </c>
      <c r="K180">
        <v>3.5800000000000023</v>
      </c>
      <c r="L180">
        <v>1.46</v>
      </c>
    </row>
    <row r="181" spans="1:12" x14ac:dyDescent="0.3">
      <c r="A181">
        <v>1.994428919</v>
      </c>
      <c r="B181">
        <v>0.38500000000000001</v>
      </c>
      <c r="C181">
        <f t="shared" si="12"/>
        <v>-0.38500000000000001</v>
      </c>
      <c r="E181">
        <f t="shared" si="13"/>
        <v>3.5988857030000001</v>
      </c>
      <c r="F181">
        <f t="shared" si="14"/>
        <v>3.6100277639999998</v>
      </c>
      <c r="G181">
        <f t="shared" si="15"/>
        <v>0.29199999999999998</v>
      </c>
      <c r="H181">
        <f t="shared" si="16"/>
        <v>0.31119999999999998</v>
      </c>
      <c r="I181">
        <f t="shared" si="17"/>
        <v>0.29392015663888671</v>
      </c>
      <c r="K181">
        <v>3.6000000000000023</v>
      </c>
      <c r="L181">
        <v>0.03</v>
      </c>
    </row>
    <row r="182" spans="1:12" x14ac:dyDescent="0.3">
      <c r="A182">
        <v>2.0055709799999999</v>
      </c>
      <c r="B182">
        <v>0.39200000000000002</v>
      </c>
      <c r="C182">
        <f t="shared" si="12"/>
        <v>-0.39200000000000002</v>
      </c>
      <c r="E182">
        <f t="shared" si="13"/>
        <v>3.6100277639999998</v>
      </c>
      <c r="F182">
        <f t="shared" si="14"/>
        <v>3.621169825</v>
      </c>
      <c r="G182">
        <f t="shared" si="15"/>
        <v>0.31119999999999998</v>
      </c>
      <c r="H182">
        <f t="shared" si="16"/>
        <v>0.33040000000000003</v>
      </c>
      <c r="I182">
        <f t="shared" si="17"/>
        <v>0.32838415750910421</v>
      </c>
      <c r="K182">
        <v>3.6200000000000023</v>
      </c>
      <c r="L182">
        <v>1.22</v>
      </c>
    </row>
    <row r="183" spans="1:12" x14ac:dyDescent="0.3">
      <c r="A183">
        <v>2.016713041</v>
      </c>
      <c r="B183">
        <v>0.39889999999999998</v>
      </c>
      <c r="C183">
        <f t="shared" si="12"/>
        <v>-0.39889999999999998</v>
      </c>
      <c r="E183">
        <f t="shared" si="13"/>
        <v>3.6323118860000001</v>
      </c>
      <c r="F183">
        <f t="shared" si="14"/>
        <v>3.6434539469999998</v>
      </c>
      <c r="G183">
        <f t="shared" si="15"/>
        <v>0.34949999999999998</v>
      </c>
      <c r="H183">
        <f t="shared" si="16"/>
        <v>0.36849999999999999</v>
      </c>
      <c r="I183">
        <f t="shared" si="17"/>
        <v>0.36261015672953611</v>
      </c>
      <c r="K183">
        <v>3.6400000000000023</v>
      </c>
      <c r="L183">
        <v>0.27</v>
      </c>
    </row>
    <row r="184" spans="1:12" x14ac:dyDescent="0.3">
      <c r="A184">
        <v>2.0278551020000002</v>
      </c>
      <c r="B184">
        <v>0.40579999999999999</v>
      </c>
      <c r="C184">
        <f t="shared" si="12"/>
        <v>-0.40579999999999999</v>
      </c>
      <c r="E184">
        <f t="shared" si="13"/>
        <v>3.654596008</v>
      </c>
      <c r="F184">
        <f t="shared" si="14"/>
        <v>3.6657380690000001</v>
      </c>
      <c r="G184">
        <f t="shared" si="15"/>
        <v>0.38750000000000001</v>
      </c>
      <c r="H184">
        <f t="shared" si="16"/>
        <v>0.40629999999999999</v>
      </c>
      <c r="I184">
        <f t="shared" si="17"/>
        <v>0.39661815593183736</v>
      </c>
      <c r="K184">
        <v>3.6600000000000024</v>
      </c>
      <c r="L184">
        <v>0.54</v>
      </c>
    </row>
    <row r="185" spans="1:12" x14ac:dyDescent="0.3">
      <c r="A185">
        <v>2.0389971629999999</v>
      </c>
      <c r="B185">
        <v>0.41260000000000002</v>
      </c>
      <c r="C185">
        <f t="shared" si="12"/>
        <v>-0.41260000000000002</v>
      </c>
      <c r="E185">
        <f t="shared" si="13"/>
        <v>3.6768801299999998</v>
      </c>
      <c r="F185">
        <f t="shared" si="14"/>
        <v>3.6880221909999999</v>
      </c>
      <c r="G185">
        <f t="shared" si="15"/>
        <v>0.42499999999999999</v>
      </c>
      <c r="H185">
        <f t="shared" si="16"/>
        <v>0.44340000000000002</v>
      </c>
      <c r="I185">
        <f t="shared" si="17"/>
        <v>0.43015215344809565</v>
      </c>
      <c r="K185">
        <v>3.6800000000000024</v>
      </c>
      <c r="L185">
        <v>0.03</v>
      </c>
    </row>
    <row r="186" spans="1:12" x14ac:dyDescent="0.3">
      <c r="A186">
        <v>2.050139224</v>
      </c>
      <c r="B186">
        <v>0.4194</v>
      </c>
      <c r="C186">
        <f t="shared" si="12"/>
        <v>-0.4194</v>
      </c>
      <c r="E186">
        <f t="shared" si="13"/>
        <v>3.6991642520000001</v>
      </c>
      <c r="F186">
        <f t="shared" si="14"/>
        <v>3.7103063129999998</v>
      </c>
      <c r="G186">
        <f t="shared" si="15"/>
        <v>0.4617</v>
      </c>
      <c r="H186">
        <f t="shared" si="16"/>
        <v>0.4798</v>
      </c>
      <c r="I186">
        <f t="shared" si="17"/>
        <v>0.46305765176658475</v>
      </c>
      <c r="K186">
        <v>3.7000000000000024</v>
      </c>
      <c r="L186">
        <v>1</v>
      </c>
    </row>
    <row r="187" spans="1:12" x14ac:dyDescent="0.3">
      <c r="A187">
        <v>2.0612812850000002</v>
      </c>
      <c r="B187">
        <v>0.42609999999999998</v>
      </c>
      <c r="C187">
        <f t="shared" si="12"/>
        <v>-0.42609999999999998</v>
      </c>
      <c r="E187">
        <f t="shared" si="13"/>
        <v>3.7103063129999998</v>
      </c>
      <c r="F187">
        <f t="shared" si="14"/>
        <v>3.7214483739999999</v>
      </c>
      <c r="G187">
        <f t="shared" si="15"/>
        <v>0.4798</v>
      </c>
      <c r="H187">
        <f t="shared" si="16"/>
        <v>0.4975</v>
      </c>
      <c r="I187">
        <f t="shared" si="17"/>
        <v>0.49519914921485686</v>
      </c>
      <c r="K187">
        <v>3.7200000000000024</v>
      </c>
      <c r="L187">
        <v>0.57999999999999996</v>
      </c>
    </row>
    <row r="188" spans="1:12" x14ac:dyDescent="0.3">
      <c r="A188">
        <v>2.0724233459999999</v>
      </c>
      <c r="B188">
        <v>0.43269999999999997</v>
      </c>
      <c r="C188">
        <f t="shared" si="12"/>
        <v>-0.43269999999999997</v>
      </c>
      <c r="E188">
        <f t="shared" si="13"/>
        <v>3.7325904350000001</v>
      </c>
      <c r="F188">
        <f t="shared" si="14"/>
        <v>3.7437324959999998</v>
      </c>
      <c r="G188">
        <f t="shared" si="15"/>
        <v>0.51500000000000001</v>
      </c>
      <c r="H188">
        <f t="shared" si="16"/>
        <v>0.53210000000000002</v>
      </c>
      <c r="I188">
        <f t="shared" si="17"/>
        <v>0.52637164493176325</v>
      </c>
      <c r="K188">
        <v>3.7400000000000024</v>
      </c>
      <c r="L188">
        <v>1.61</v>
      </c>
    </row>
    <row r="189" spans="1:12" x14ac:dyDescent="0.3">
      <c r="A189">
        <v>2.083565407</v>
      </c>
      <c r="B189">
        <v>0.43930000000000002</v>
      </c>
      <c r="C189">
        <f t="shared" si="12"/>
        <v>-0.43930000000000002</v>
      </c>
      <c r="E189">
        <f t="shared" si="13"/>
        <v>3.7548745569999999</v>
      </c>
      <c r="F189">
        <f t="shared" si="14"/>
        <v>3.7660166180000001</v>
      </c>
      <c r="G189">
        <f t="shared" si="15"/>
        <v>0.54890000000000005</v>
      </c>
      <c r="H189">
        <f t="shared" si="16"/>
        <v>0.56540000000000001</v>
      </c>
      <c r="I189">
        <f t="shared" si="17"/>
        <v>0.55649014059427948</v>
      </c>
      <c r="K189">
        <v>3.7600000000000025</v>
      </c>
      <c r="L189">
        <v>0.08</v>
      </c>
    </row>
    <row r="190" spans="1:12" x14ac:dyDescent="0.3">
      <c r="A190">
        <v>2.0947074680000002</v>
      </c>
      <c r="B190">
        <v>0.44579999999999997</v>
      </c>
      <c r="C190">
        <f t="shared" si="12"/>
        <v>-0.44579999999999997</v>
      </c>
      <c r="E190">
        <f t="shared" si="13"/>
        <v>3.7771586789999998</v>
      </c>
      <c r="F190">
        <f t="shared" si="14"/>
        <v>3.7883007399999999</v>
      </c>
      <c r="G190">
        <f t="shared" si="15"/>
        <v>0.58140000000000003</v>
      </c>
      <c r="H190">
        <f t="shared" si="16"/>
        <v>0.59699999999999998</v>
      </c>
      <c r="I190">
        <f t="shared" si="17"/>
        <v>0.58537813363255164</v>
      </c>
      <c r="K190">
        <v>3.7800000000000025</v>
      </c>
      <c r="L190">
        <v>0.83</v>
      </c>
    </row>
    <row r="191" spans="1:12" x14ac:dyDescent="0.3">
      <c r="A191">
        <v>2.1058495289999999</v>
      </c>
      <c r="B191">
        <v>0.45219999999999999</v>
      </c>
      <c r="C191">
        <f t="shared" si="12"/>
        <v>-0.45219999999999999</v>
      </c>
      <c r="E191">
        <f t="shared" si="13"/>
        <v>3.7994428010000001</v>
      </c>
      <c r="F191">
        <f t="shared" si="14"/>
        <v>3.8105848619999998</v>
      </c>
      <c r="G191">
        <f t="shared" si="15"/>
        <v>0.61209999999999998</v>
      </c>
      <c r="H191">
        <f t="shared" si="16"/>
        <v>0.62670000000000003</v>
      </c>
      <c r="I191">
        <f t="shared" si="17"/>
        <v>0.61283012572808815</v>
      </c>
      <c r="K191">
        <v>3.8000000000000025</v>
      </c>
      <c r="L191">
        <v>0.28999999999999998</v>
      </c>
    </row>
    <row r="192" spans="1:12" x14ac:dyDescent="0.3">
      <c r="A192">
        <v>2.11699159</v>
      </c>
      <c r="B192">
        <v>0.45850000000000002</v>
      </c>
      <c r="C192">
        <f t="shared" si="12"/>
        <v>-0.45850000000000002</v>
      </c>
      <c r="E192">
        <f t="shared" si="13"/>
        <v>3.8105848619999998</v>
      </c>
      <c r="F192">
        <f t="shared" si="14"/>
        <v>3.8217269229999999</v>
      </c>
      <c r="G192">
        <f t="shared" si="15"/>
        <v>0.62670000000000003</v>
      </c>
      <c r="H192">
        <f t="shared" si="16"/>
        <v>0.64080000000000004</v>
      </c>
      <c r="I192">
        <f t="shared" si="17"/>
        <v>0.63861462206139752</v>
      </c>
      <c r="K192">
        <v>3.8200000000000025</v>
      </c>
      <c r="L192">
        <v>1.27</v>
      </c>
    </row>
    <row r="193" spans="1:12" x14ac:dyDescent="0.3">
      <c r="A193">
        <v>2.1281336510000002</v>
      </c>
      <c r="B193">
        <v>0.4647</v>
      </c>
      <c r="C193">
        <f t="shared" si="12"/>
        <v>-0.4647</v>
      </c>
      <c r="E193">
        <f t="shared" si="13"/>
        <v>3.8328689840000001</v>
      </c>
      <c r="F193">
        <f t="shared" si="14"/>
        <v>3.8440110449999998</v>
      </c>
      <c r="G193">
        <f t="shared" si="15"/>
        <v>0.65429999999999999</v>
      </c>
      <c r="H193">
        <f t="shared" si="16"/>
        <v>0.66739999999999999</v>
      </c>
      <c r="I193">
        <f t="shared" si="17"/>
        <v>0.66268411399830196</v>
      </c>
      <c r="K193">
        <v>3.8400000000000025</v>
      </c>
      <c r="L193">
        <v>0.48</v>
      </c>
    </row>
    <row r="194" spans="1:12" x14ac:dyDescent="0.3">
      <c r="A194">
        <v>2.1392757119999999</v>
      </c>
      <c r="B194">
        <v>0.4708</v>
      </c>
      <c r="C194">
        <f t="shared" si="12"/>
        <v>-0.4708</v>
      </c>
      <c r="E194">
        <f t="shared" si="13"/>
        <v>3.8551531059999999</v>
      </c>
      <c r="F194">
        <f t="shared" si="14"/>
        <v>3.8662951670000001</v>
      </c>
      <c r="G194">
        <f t="shared" si="15"/>
        <v>0.67979999999999996</v>
      </c>
      <c r="H194">
        <f t="shared" si="16"/>
        <v>0.69159999999999999</v>
      </c>
      <c r="I194">
        <f t="shared" si="17"/>
        <v>0.6849331032203132</v>
      </c>
      <c r="K194">
        <v>3.8600000000000025</v>
      </c>
      <c r="L194">
        <v>0.62</v>
      </c>
    </row>
    <row r="195" spans="1:12" x14ac:dyDescent="0.3">
      <c r="A195">
        <v>2.150417773</v>
      </c>
      <c r="B195">
        <v>0.47689999999999999</v>
      </c>
      <c r="C195">
        <f t="shared" ref="C195:C258" si="18">B195*-1</f>
        <v>-0.47689999999999999</v>
      </c>
      <c r="E195">
        <f t="shared" ref="E195:E258" si="19">_xlfn.XLOOKUP(K195,A:A,A:A,,-1)</f>
        <v>3.8774372279999998</v>
      </c>
      <c r="F195">
        <f t="shared" ref="F195:F258" si="20">_xlfn.XLOOKUP(K195,A:A,A:A,,1)</f>
        <v>3.8885792889999999</v>
      </c>
      <c r="G195">
        <f t="shared" ref="G195:I258" si="21">_xlfn.XLOOKUP(E195,A:A,C:C,,-1)</f>
        <v>0.70279999999999998</v>
      </c>
      <c r="H195">
        <f t="shared" ref="H195:H258" si="22">_xlfn.XLOOKUP(F195,A:A,C:C,,1)</f>
        <v>0.71330000000000005</v>
      </c>
      <c r="I195">
        <f t="shared" ref="I195:I201" si="23">_xlfn.FORECAST.LINEAR(K195,G195:H195,E195:F195)</f>
        <v>0.70521509232448354</v>
      </c>
      <c r="K195">
        <v>3.8800000000000026</v>
      </c>
      <c r="L195">
        <v>0.52</v>
      </c>
    </row>
    <row r="196" spans="1:12" x14ac:dyDescent="0.3">
      <c r="A196">
        <v>2.1615598340000002</v>
      </c>
      <c r="B196">
        <v>0.48280000000000001</v>
      </c>
      <c r="C196">
        <f t="shared" si="18"/>
        <v>-0.48280000000000001</v>
      </c>
      <c r="E196">
        <f t="shared" si="19"/>
        <v>3.8997213500000001</v>
      </c>
      <c r="F196">
        <f t="shared" si="20"/>
        <v>3.9108634109999998</v>
      </c>
      <c r="G196">
        <f t="shared" si="21"/>
        <v>0.72309999999999997</v>
      </c>
      <c r="H196">
        <f t="shared" si="22"/>
        <v>0.73229999999999995</v>
      </c>
      <c r="I196">
        <f t="shared" si="23"/>
        <v>0.72415578133166081</v>
      </c>
      <c r="K196">
        <v>3.9010000000000025</v>
      </c>
      <c r="L196">
        <v>1.57</v>
      </c>
    </row>
    <row r="197" spans="1:12" x14ac:dyDescent="0.3">
      <c r="A197">
        <v>2.1727018949999999</v>
      </c>
      <c r="B197">
        <v>0.48859999999999998</v>
      </c>
      <c r="C197">
        <f t="shared" si="18"/>
        <v>-0.48859999999999998</v>
      </c>
      <c r="E197">
        <f t="shared" si="19"/>
        <v>3.9108634109999998</v>
      </c>
      <c r="F197">
        <f t="shared" si="20"/>
        <v>3.9220054719999999</v>
      </c>
      <c r="G197">
        <f t="shared" si="21"/>
        <v>0.73229999999999995</v>
      </c>
      <c r="H197">
        <f t="shared" si="22"/>
        <v>0.74070000000000003</v>
      </c>
      <c r="I197">
        <f t="shared" si="23"/>
        <v>0.73918807462102576</v>
      </c>
      <c r="K197">
        <v>3.9200000000000026</v>
      </c>
      <c r="L197">
        <v>0.02</v>
      </c>
    </row>
    <row r="198" spans="1:12" x14ac:dyDescent="0.3">
      <c r="A198">
        <v>2.183843956</v>
      </c>
      <c r="B198">
        <v>0.49430000000000002</v>
      </c>
      <c r="C198">
        <f t="shared" si="18"/>
        <v>-0.49430000000000002</v>
      </c>
      <c r="E198">
        <f t="shared" si="19"/>
        <v>3.9331475330000001</v>
      </c>
      <c r="F198">
        <f t="shared" si="20"/>
        <v>3.9442895939999998</v>
      </c>
      <c r="G198">
        <f t="shared" si="21"/>
        <v>0.74850000000000005</v>
      </c>
      <c r="H198">
        <f t="shared" si="22"/>
        <v>0.75549999999999995</v>
      </c>
      <c r="I198">
        <f t="shared" si="23"/>
        <v>0.7528050625014544</v>
      </c>
      <c r="K198">
        <v>3.9400000000000026</v>
      </c>
      <c r="L198">
        <v>1.76</v>
      </c>
    </row>
    <row r="199" spans="1:12" x14ac:dyDescent="0.3">
      <c r="A199">
        <v>2.1949860170000002</v>
      </c>
      <c r="B199">
        <v>0.49990000000000001</v>
      </c>
      <c r="C199">
        <f t="shared" si="18"/>
        <v>-0.49990000000000001</v>
      </c>
      <c r="E199">
        <f t="shared" si="19"/>
        <v>3.9554316549999999</v>
      </c>
      <c r="F199">
        <f t="shared" si="20"/>
        <v>3.9665737160000001</v>
      </c>
      <c r="G199">
        <f t="shared" si="21"/>
        <v>0.76170000000000004</v>
      </c>
      <c r="H199">
        <f t="shared" si="22"/>
        <v>0.76729999999999998</v>
      </c>
      <c r="I199">
        <f t="shared" si="23"/>
        <v>0.76399605025497652</v>
      </c>
      <c r="K199">
        <v>3.9600000000000026</v>
      </c>
      <c r="L199">
        <v>0.31</v>
      </c>
    </row>
    <row r="200" spans="1:12" x14ac:dyDescent="0.3">
      <c r="A200">
        <v>2.2061280779999999</v>
      </c>
      <c r="B200">
        <v>0.50539999999999996</v>
      </c>
      <c r="C200">
        <f t="shared" si="18"/>
        <v>-0.50539999999999996</v>
      </c>
      <c r="E200">
        <f t="shared" si="19"/>
        <v>3.9777157769999998</v>
      </c>
      <c r="F200">
        <f t="shared" si="20"/>
        <v>3.9888578379999999</v>
      </c>
      <c r="G200">
        <f t="shared" si="21"/>
        <v>0.77210000000000001</v>
      </c>
      <c r="H200">
        <f t="shared" si="22"/>
        <v>0.77629999999999999</v>
      </c>
      <c r="I200">
        <f t="shared" si="23"/>
        <v>0.77296103788159232</v>
      </c>
      <c r="K200">
        <v>3.9800000000000026</v>
      </c>
      <c r="L200">
        <v>1.88</v>
      </c>
    </row>
    <row r="201" spans="1:12" x14ac:dyDescent="0.3">
      <c r="A201">
        <v>2.217270139</v>
      </c>
      <c r="B201">
        <v>0.51070000000000004</v>
      </c>
      <c r="C201">
        <f t="shared" si="18"/>
        <v>-0.51070000000000004</v>
      </c>
      <c r="E201">
        <f t="shared" si="19"/>
        <v>3.9999998990000001</v>
      </c>
      <c r="G201">
        <f t="shared" si="21"/>
        <v>0.77969999999999995</v>
      </c>
      <c r="I201">
        <v>0.77969999999999995</v>
      </c>
      <c r="K201">
        <v>4.0000000000000027</v>
      </c>
      <c r="L201">
        <v>0.78</v>
      </c>
    </row>
    <row r="202" spans="1:12" x14ac:dyDescent="0.3">
      <c r="A202">
        <v>2.2284122000000002</v>
      </c>
      <c r="B202">
        <v>0.51590000000000003</v>
      </c>
      <c r="C202">
        <f t="shared" si="18"/>
        <v>-0.51590000000000003</v>
      </c>
    </row>
    <row r="203" spans="1:12" x14ac:dyDescent="0.3">
      <c r="A203">
        <v>2.2395542609999999</v>
      </c>
      <c r="B203">
        <v>0.52100000000000002</v>
      </c>
      <c r="C203">
        <f t="shared" si="18"/>
        <v>-0.52100000000000002</v>
      </c>
    </row>
    <row r="204" spans="1:12" x14ac:dyDescent="0.3">
      <c r="A204">
        <v>2.250696322</v>
      </c>
      <c r="B204">
        <v>0.52600000000000002</v>
      </c>
      <c r="C204">
        <f t="shared" si="18"/>
        <v>-0.52600000000000002</v>
      </c>
    </row>
    <row r="205" spans="1:12" x14ac:dyDescent="0.3">
      <c r="A205">
        <v>2.2618383830000002</v>
      </c>
      <c r="B205">
        <v>0.53080000000000005</v>
      </c>
      <c r="C205">
        <f t="shared" si="18"/>
        <v>-0.53080000000000005</v>
      </c>
    </row>
    <row r="206" spans="1:12" x14ac:dyDescent="0.3">
      <c r="A206">
        <v>2.2729804439999999</v>
      </c>
      <c r="B206">
        <v>0.53549999999999998</v>
      </c>
      <c r="C206">
        <f t="shared" si="18"/>
        <v>-0.53549999999999998</v>
      </c>
    </row>
    <row r="207" spans="1:12" x14ac:dyDescent="0.3">
      <c r="A207">
        <v>2.284122505</v>
      </c>
      <c r="B207">
        <v>0.54010000000000002</v>
      </c>
      <c r="C207">
        <f t="shared" si="18"/>
        <v>-0.54010000000000002</v>
      </c>
    </row>
    <row r="208" spans="1:12" x14ac:dyDescent="0.3">
      <c r="A208">
        <v>2.2952645660000002</v>
      </c>
      <c r="B208">
        <v>0.54449999999999998</v>
      </c>
      <c r="C208">
        <f t="shared" si="18"/>
        <v>-0.54449999999999998</v>
      </c>
    </row>
    <row r="209" spans="1:3" x14ac:dyDescent="0.3">
      <c r="A209">
        <v>2.3064066269999999</v>
      </c>
      <c r="B209">
        <v>0.54869999999999997</v>
      </c>
      <c r="C209">
        <f t="shared" si="18"/>
        <v>-0.54869999999999997</v>
      </c>
    </row>
    <row r="210" spans="1:3" x14ac:dyDescent="0.3">
      <c r="A210">
        <v>2.317548688</v>
      </c>
      <c r="B210">
        <v>0.55279999999999996</v>
      </c>
      <c r="C210">
        <f t="shared" si="18"/>
        <v>-0.55279999999999996</v>
      </c>
    </row>
    <row r="211" spans="1:3" x14ac:dyDescent="0.3">
      <c r="A211">
        <v>2.3286907490000002</v>
      </c>
      <c r="B211">
        <v>0.55679999999999996</v>
      </c>
      <c r="C211">
        <f t="shared" si="18"/>
        <v>-0.55679999999999996</v>
      </c>
    </row>
    <row r="212" spans="1:3" x14ac:dyDescent="0.3">
      <c r="A212">
        <v>2.3398328099999999</v>
      </c>
      <c r="B212">
        <v>0.56059999999999999</v>
      </c>
      <c r="C212">
        <f t="shared" si="18"/>
        <v>-0.56059999999999999</v>
      </c>
    </row>
    <row r="213" spans="1:3" x14ac:dyDescent="0.3">
      <c r="A213">
        <v>2.350974871</v>
      </c>
      <c r="B213">
        <v>0.56420000000000003</v>
      </c>
      <c r="C213">
        <f t="shared" si="18"/>
        <v>-0.56420000000000003</v>
      </c>
    </row>
    <row r="214" spans="1:3" x14ac:dyDescent="0.3">
      <c r="A214">
        <v>2.3621169320000002</v>
      </c>
      <c r="B214">
        <v>0.56769999999999998</v>
      </c>
      <c r="C214">
        <f t="shared" si="18"/>
        <v>-0.56769999999999998</v>
      </c>
    </row>
    <row r="215" spans="1:3" x14ac:dyDescent="0.3">
      <c r="A215">
        <v>2.3732589929999999</v>
      </c>
      <c r="B215">
        <v>0.57099999999999995</v>
      </c>
      <c r="C215">
        <f t="shared" si="18"/>
        <v>-0.57099999999999995</v>
      </c>
    </row>
    <row r="216" spans="1:3" x14ac:dyDescent="0.3">
      <c r="A216">
        <v>2.384401054</v>
      </c>
      <c r="B216">
        <v>0.57420000000000004</v>
      </c>
      <c r="C216">
        <f t="shared" si="18"/>
        <v>-0.57420000000000004</v>
      </c>
    </row>
    <row r="217" spans="1:3" x14ac:dyDescent="0.3">
      <c r="A217">
        <v>2.3955431150000002</v>
      </c>
      <c r="B217">
        <v>0.57720000000000005</v>
      </c>
      <c r="C217">
        <f t="shared" si="18"/>
        <v>-0.57720000000000005</v>
      </c>
    </row>
    <row r="218" spans="1:3" x14ac:dyDescent="0.3">
      <c r="A218">
        <v>2.4066851759999999</v>
      </c>
      <c r="B218">
        <v>0.57999999999999996</v>
      </c>
      <c r="C218">
        <f t="shared" si="18"/>
        <v>-0.57999999999999996</v>
      </c>
    </row>
    <row r="219" spans="1:3" x14ac:dyDescent="0.3">
      <c r="A219">
        <v>2.417827237</v>
      </c>
      <c r="B219">
        <v>0.5827</v>
      </c>
      <c r="C219">
        <f t="shared" si="18"/>
        <v>-0.5827</v>
      </c>
    </row>
    <row r="220" spans="1:3" x14ac:dyDescent="0.3">
      <c r="A220">
        <v>2.4289692980000002</v>
      </c>
      <c r="B220">
        <v>0.58520000000000005</v>
      </c>
      <c r="C220">
        <f t="shared" si="18"/>
        <v>-0.58520000000000005</v>
      </c>
    </row>
    <row r="221" spans="1:3" x14ac:dyDescent="0.3">
      <c r="A221">
        <v>2.4401113589999999</v>
      </c>
      <c r="B221">
        <v>0.58750000000000002</v>
      </c>
      <c r="C221">
        <f t="shared" si="18"/>
        <v>-0.58750000000000002</v>
      </c>
    </row>
    <row r="222" spans="1:3" x14ac:dyDescent="0.3">
      <c r="A222">
        <v>2.45125342</v>
      </c>
      <c r="B222">
        <v>0.5897</v>
      </c>
      <c r="C222">
        <f t="shared" si="18"/>
        <v>-0.5897</v>
      </c>
    </row>
    <row r="223" spans="1:3" x14ac:dyDescent="0.3">
      <c r="A223">
        <v>2.4623954810000002</v>
      </c>
      <c r="B223">
        <v>0.5917</v>
      </c>
      <c r="C223">
        <f t="shared" si="18"/>
        <v>-0.5917</v>
      </c>
    </row>
    <row r="224" spans="1:3" x14ac:dyDescent="0.3">
      <c r="A224">
        <v>2.4735375419999999</v>
      </c>
      <c r="B224">
        <v>0.59350000000000003</v>
      </c>
      <c r="C224">
        <f t="shared" si="18"/>
        <v>-0.59350000000000003</v>
      </c>
    </row>
    <row r="225" spans="1:3" x14ac:dyDescent="0.3">
      <c r="A225">
        <v>2.484679603</v>
      </c>
      <c r="B225">
        <v>0.59509999999999996</v>
      </c>
      <c r="C225">
        <f t="shared" si="18"/>
        <v>-0.59509999999999996</v>
      </c>
    </row>
    <row r="226" spans="1:3" x14ac:dyDescent="0.3">
      <c r="A226">
        <v>2.4958216640000002</v>
      </c>
      <c r="B226">
        <v>0.59660000000000002</v>
      </c>
      <c r="C226">
        <f t="shared" si="18"/>
        <v>-0.59660000000000002</v>
      </c>
    </row>
    <row r="227" spans="1:3" x14ac:dyDescent="0.3">
      <c r="A227">
        <v>2.5069637249999999</v>
      </c>
      <c r="B227">
        <v>0.59789999999999999</v>
      </c>
      <c r="C227">
        <f t="shared" si="18"/>
        <v>-0.59789999999999999</v>
      </c>
    </row>
    <row r="228" spans="1:3" x14ac:dyDescent="0.3">
      <c r="A228">
        <v>2.518105786</v>
      </c>
      <c r="B228">
        <v>0.59909999999999997</v>
      </c>
      <c r="C228">
        <f t="shared" si="18"/>
        <v>-0.59909999999999997</v>
      </c>
    </row>
    <row r="229" spans="1:3" x14ac:dyDescent="0.3">
      <c r="A229">
        <v>2.5292478470000002</v>
      </c>
      <c r="B229">
        <v>0.6</v>
      </c>
      <c r="C229">
        <f t="shared" si="18"/>
        <v>-0.6</v>
      </c>
    </row>
    <row r="230" spans="1:3" x14ac:dyDescent="0.3">
      <c r="A230">
        <v>2.5403899079999999</v>
      </c>
      <c r="B230">
        <v>0.6008</v>
      </c>
      <c r="C230">
        <f t="shared" si="18"/>
        <v>-0.6008</v>
      </c>
    </row>
    <row r="231" spans="1:3" x14ac:dyDescent="0.3">
      <c r="A231">
        <v>2.551531969</v>
      </c>
      <c r="B231">
        <v>0.60129999999999995</v>
      </c>
      <c r="C231">
        <f t="shared" si="18"/>
        <v>-0.60129999999999995</v>
      </c>
    </row>
    <row r="232" spans="1:3" x14ac:dyDescent="0.3">
      <c r="A232">
        <v>2.5626740300000002</v>
      </c>
      <c r="B232">
        <v>0.60170000000000001</v>
      </c>
      <c r="C232">
        <f t="shared" si="18"/>
        <v>-0.60170000000000001</v>
      </c>
    </row>
    <row r="233" spans="1:3" x14ac:dyDescent="0.3">
      <c r="A233">
        <v>2.5738160909999999</v>
      </c>
      <c r="B233">
        <v>0.60199999999999998</v>
      </c>
      <c r="C233">
        <f t="shared" si="18"/>
        <v>-0.60199999999999998</v>
      </c>
    </row>
    <row r="234" spans="1:3" x14ac:dyDescent="0.3">
      <c r="A234">
        <v>2.584958152</v>
      </c>
      <c r="B234">
        <v>0.60209999999999997</v>
      </c>
      <c r="C234">
        <f t="shared" si="18"/>
        <v>-0.60209999999999997</v>
      </c>
    </row>
    <row r="235" spans="1:3" x14ac:dyDescent="0.3">
      <c r="A235">
        <v>2.5961002130000002</v>
      </c>
      <c r="B235">
        <v>0.60199999999999998</v>
      </c>
      <c r="C235">
        <f t="shared" si="18"/>
        <v>-0.60199999999999998</v>
      </c>
    </row>
    <row r="236" spans="1:3" x14ac:dyDescent="0.3">
      <c r="A236">
        <v>2.6072422739999999</v>
      </c>
      <c r="B236">
        <v>0.60160000000000002</v>
      </c>
      <c r="C236">
        <f t="shared" si="18"/>
        <v>-0.60160000000000002</v>
      </c>
    </row>
    <row r="237" spans="1:3" x14ac:dyDescent="0.3">
      <c r="A237">
        <v>2.618384335</v>
      </c>
      <c r="B237">
        <v>0.60109999999999997</v>
      </c>
      <c r="C237">
        <f t="shared" si="18"/>
        <v>-0.60109999999999997</v>
      </c>
    </row>
    <row r="238" spans="1:3" x14ac:dyDescent="0.3">
      <c r="A238">
        <v>2.6295263960000002</v>
      </c>
      <c r="B238">
        <v>0.60050000000000003</v>
      </c>
      <c r="C238">
        <f t="shared" si="18"/>
        <v>-0.60050000000000003</v>
      </c>
    </row>
    <row r="239" spans="1:3" x14ac:dyDescent="0.3">
      <c r="A239">
        <v>2.6406684569999999</v>
      </c>
      <c r="B239">
        <v>0.59960000000000002</v>
      </c>
      <c r="C239">
        <f t="shared" si="18"/>
        <v>-0.59960000000000002</v>
      </c>
    </row>
    <row r="240" spans="1:3" x14ac:dyDescent="0.3">
      <c r="A240">
        <v>2.651810518</v>
      </c>
      <c r="B240">
        <v>0.59860000000000002</v>
      </c>
      <c r="C240">
        <f t="shared" si="18"/>
        <v>-0.59860000000000002</v>
      </c>
    </row>
    <row r="241" spans="1:3" x14ac:dyDescent="0.3">
      <c r="A241">
        <v>2.6629525790000002</v>
      </c>
      <c r="B241">
        <v>0.59740000000000004</v>
      </c>
      <c r="C241">
        <f t="shared" si="18"/>
        <v>-0.59740000000000004</v>
      </c>
    </row>
    <row r="242" spans="1:3" x14ac:dyDescent="0.3">
      <c r="A242">
        <v>2.6740946399999999</v>
      </c>
      <c r="B242">
        <v>0.59589999999999999</v>
      </c>
      <c r="C242">
        <f t="shared" si="18"/>
        <v>-0.59589999999999999</v>
      </c>
    </row>
    <row r="243" spans="1:3" x14ac:dyDescent="0.3">
      <c r="A243">
        <v>2.685236701</v>
      </c>
      <c r="B243">
        <v>0.59430000000000005</v>
      </c>
      <c r="C243">
        <f t="shared" si="18"/>
        <v>-0.59430000000000005</v>
      </c>
    </row>
    <row r="244" spans="1:3" x14ac:dyDescent="0.3">
      <c r="A244">
        <v>2.6963787620000002</v>
      </c>
      <c r="B244">
        <v>0.59260000000000002</v>
      </c>
      <c r="C244">
        <f t="shared" si="18"/>
        <v>-0.59260000000000002</v>
      </c>
    </row>
    <row r="245" spans="1:3" x14ac:dyDescent="0.3">
      <c r="A245">
        <v>2.7075208229999999</v>
      </c>
      <c r="B245">
        <v>0.59060000000000001</v>
      </c>
      <c r="C245">
        <f t="shared" si="18"/>
        <v>-0.59060000000000001</v>
      </c>
    </row>
    <row r="246" spans="1:3" x14ac:dyDescent="0.3">
      <c r="A246">
        <v>2.718662884</v>
      </c>
      <c r="B246">
        <v>0.58840000000000003</v>
      </c>
      <c r="C246">
        <f t="shared" si="18"/>
        <v>-0.58840000000000003</v>
      </c>
    </row>
    <row r="247" spans="1:3" x14ac:dyDescent="0.3">
      <c r="A247">
        <v>2.7298049450000001</v>
      </c>
      <c r="B247">
        <v>0.58609999999999995</v>
      </c>
      <c r="C247">
        <f t="shared" si="18"/>
        <v>-0.58609999999999995</v>
      </c>
    </row>
    <row r="248" spans="1:3" x14ac:dyDescent="0.3">
      <c r="A248">
        <v>2.7409470059999999</v>
      </c>
      <c r="B248">
        <v>0.58350000000000002</v>
      </c>
      <c r="C248">
        <f t="shared" si="18"/>
        <v>-0.58350000000000002</v>
      </c>
    </row>
    <row r="249" spans="1:3" x14ac:dyDescent="0.3">
      <c r="A249">
        <v>2.752089067</v>
      </c>
      <c r="B249">
        <v>0.58079999999999998</v>
      </c>
      <c r="C249">
        <f t="shared" si="18"/>
        <v>-0.58079999999999998</v>
      </c>
    </row>
    <row r="250" spans="1:3" x14ac:dyDescent="0.3">
      <c r="A250">
        <v>2.7632311280000001</v>
      </c>
      <c r="B250">
        <v>0.57789999999999997</v>
      </c>
      <c r="C250">
        <f t="shared" si="18"/>
        <v>-0.57789999999999997</v>
      </c>
    </row>
    <row r="251" spans="1:3" x14ac:dyDescent="0.3">
      <c r="A251">
        <v>2.7743731889999999</v>
      </c>
      <c r="B251">
        <v>0.57469999999999999</v>
      </c>
      <c r="C251">
        <f t="shared" si="18"/>
        <v>-0.57469999999999999</v>
      </c>
    </row>
    <row r="252" spans="1:3" x14ac:dyDescent="0.3">
      <c r="A252">
        <v>2.78551525</v>
      </c>
      <c r="B252">
        <v>0.57140000000000002</v>
      </c>
      <c r="C252">
        <f t="shared" si="18"/>
        <v>-0.57140000000000002</v>
      </c>
    </row>
    <row r="253" spans="1:3" x14ac:dyDescent="0.3">
      <c r="A253">
        <v>2.7966573110000001</v>
      </c>
      <c r="B253">
        <v>0.56789999999999996</v>
      </c>
      <c r="C253">
        <f t="shared" si="18"/>
        <v>-0.56789999999999996</v>
      </c>
    </row>
    <row r="254" spans="1:3" x14ac:dyDescent="0.3">
      <c r="A254">
        <v>2.8077993719999998</v>
      </c>
      <c r="B254">
        <v>0.56420000000000003</v>
      </c>
      <c r="C254">
        <f t="shared" si="18"/>
        <v>-0.56420000000000003</v>
      </c>
    </row>
    <row r="255" spans="1:3" x14ac:dyDescent="0.3">
      <c r="A255">
        <v>2.818941433</v>
      </c>
      <c r="B255">
        <v>0.56030000000000002</v>
      </c>
      <c r="C255">
        <f t="shared" si="18"/>
        <v>-0.56030000000000002</v>
      </c>
    </row>
    <row r="256" spans="1:3" x14ac:dyDescent="0.3">
      <c r="A256">
        <v>2.8300834940000001</v>
      </c>
      <c r="B256">
        <v>0.55610000000000004</v>
      </c>
      <c r="C256">
        <f t="shared" si="18"/>
        <v>-0.55610000000000004</v>
      </c>
    </row>
    <row r="257" spans="1:3" x14ac:dyDescent="0.3">
      <c r="A257">
        <v>2.8412255549999998</v>
      </c>
      <c r="B257">
        <v>0.55179999999999996</v>
      </c>
      <c r="C257">
        <f t="shared" si="18"/>
        <v>-0.55179999999999996</v>
      </c>
    </row>
    <row r="258" spans="1:3" x14ac:dyDescent="0.3">
      <c r="A258">
        <v>2.852367616</v>
      </c>
      <c r="B258">
        <v>0.54730000000000001</v>
      </c>
      <c r="C258">
        <f t="shared" si="18"/>
        <v>-0.54730000000000001</v>
      </c>
    </row>
    <row r="259" spans="1:3" x14ac:dyDescent="0.3">
      <c r="A259">
        <v>2.8635096770000001</v>
      </c>
      <c r="B259">
        <v>0.54259999999999997</v>
      </c>
      <c r="C259">
        <f t="shared" ref="C259:C322" si="24">B259*-1</f>
        <v>-0.54259999999999997</v>
      </c>
    </row>
    <row r="260" spans="1:3" x14ac:dyDescent="0.3">
      <c r="A260">
        <v>2.8746517379999998</v>
      </c>
      <c r="B260">
        <v>0.53759999999999997</v>
      </c>
      <c r="C260">
        <f t="shared" si="24"/>
        <v>-0.53759999999999997</v>
      </c>
    </row>
    <row r="261" spans="1:3" x14ac:dyDescent="0.3">
      <c r="A261">
        <v>2.885793799</v>
      </c>
      <c r="B261">
        <v>0.53239999999999998</v>
      </c>
      <c r="C261">
        <f t="shared" si="24"/>
        <v>-0.53239999999999998</v>
      </c>
    </row>
    <row r="262" spans="1:3" x14ac:dyDescent="0.3">
      <c r="A262">
        <v>2.8969358600000001</v>
      </c>
      <c r="B262">
        <v>0.52710000000000001</v>
      </c>
      <c r="C262">
        <f t="shared" si="24"/>
        <v>-0.52710000000000001</v>
      </c>
    </row>
    <row r="263" spans="1:3" x14ac:dyDescent="0.3">
      <c r="A263">
        <v>2.9080779209999998</v>
      </c>
      <c r="B263">
        <v>0.52149999999999996</v>
      </c>
      <c r="C263">
        <f t="shared" si="24"/>
        <v>-0.52149999999999996</v>
      </c>
    </row>
    <row r="264" spans="1:3" x14ac:dyDescent="0.3">
      <c r="A264">
        <v>2.919219982</v>
      </c>
      <c r="B264">
        <v>0.51570000000000005</v>
      </c>
      <c r="C264">
        <f t="shared" si="24"/>
        <v>-0.51570000000000005</v>
      </c>
    </row>
    <row r="265" spans="1:3" x14ac:dyDescent="0.3">
      <c r="A265">
        <v>2.9303620430000001</v>
      </c>
      <c r="B265">
        <v>0.50970000000000004</v>
      </c>
      <c r="C265">
        <f t="shared" si="24"/>
        <v>-0.50970000000000004</v>
      </c>
    </row>
    <row r="266" spans="1:3" x14ac:dyDescent="0.3">
      <c r="A266">
        <v>2.9415041039999998</v>
      </c>
      <c r="B266">
        <v>0.50349999999999995</v>
      </c>
      <c r="C266">
        <f t="shared" si="24"/>
        <v>-0.50349999999999995</v>
      </c>
    </row>
    <row r="267" spans="1:3" x14ac:dyDescent="0.3">
      <c r="A267">
        <v>2.952646165</v>
      </c>
      <c r="B267">
        <v>0.497</v>
      </c>
      <c r="C267">
        <f t="shared" si="24"/>
        <v>-0.497</v>
      </c>
    </row>
    <row r="268" spans="1:3" x14ac:dyDescent="0.3">
      <c r="A268">
        <v>2.9637882260000001</v>
      </c>
      <c r="B268">
        <v>0.49030000000000001</v>
      </c>
      <c r="C268">
        <f t="shared" si="24"/>
        <v>-0.49030000000000001</v>
      </c>
    </row>
    <row r="269" spans="1:3" x14ac:dyDescent="0.3">
      <c r="A269">
        <v>2.9749302869999998</v>
      </c>
      <c r="B269">
        <v>0.4834</v>
      </c>
      <c r="C269">
        <f t="shared" si="24"/>
        <v>-0.4834</v>
      </c>
    </row>
    <row r="270" spans="1:3" x14ac:dyDescent="0.3">
      <c r="A270">
        <v>2.986072348</v>
      </c>
      <c r="B270">
        <v>0.4763</v>
      </c>
      <c r="C270">
        <f t="shared" si="24"/>
        <v>-0.4763</v>
      </c>
    </row>
    <row r="271" spans="1:3" x14ac:dyDescent="0.3">
      <c r="A271">
        <v>2.9972144090000001</v>
      </c>
      <c r="B271">
        <v>0.46899999999999997</v>
      </c>
      <c r="C271">
        <f t="shared" si="24"/>
        <v>-0.46899999999999997</v>
      </c>
    </row>
    <row r="272" spans="1:3" x14ac:dyDescent="0.3">
      <c r="A272">
        <v>3.0083564699999998</v>
      </c>
      <c r="B272">
        <v>0.46139999999999998</v>
      </c>
      <c r="C272">
        <f t="shared" si="24"/>
        <v>-0.46139999999999998</v>
      </c>
    </row>
    <row r="273" spans="1:3" x14ac:dyDescent="0.3">
      <c r="A273">
        <v>3.019498531</v>
      </c>
      <c r="B273">
        <v>0.4536</v>
      </c>
      <c r="C273">
        <f t="shared" si="24"/>
        <v>-0.4536</v>
      </c>
    </row>
    <row r="274" spans="1:3" x14ac:dyDescent="0.3">
      <c r="A274">
        <v>3.0306405920000001</v>
      </c>
      <c r="B274">
        <v>0.44550000000000001</v>
      </c>
      <c r="C274">
        <f t="shared" si="24"/>
        <v>-0.44550000000000001</v>
      </c>
    </row>
    <row r="275" spans="1:3" x14ac:dyDescent="0.3">
      <c r="A275">
        <v>3.0417826529999998</v>
      </c>
      <c r="B275">
        <v>0.43719999999999998</v>
      </c>
      <c r="C275">
        <f t="shared" si="24"/>
        <v>-0.43719999999999998</v>
      </c>
    </row>
    <row r="276" spans="1:3" x14ac:dyDescent="0.3">
      <c r="A276">
        <v>3.052924714</v>
      </c>
      <c r="B276">
        <v>0.42870000000000003</v>
      </c>
      <c r="C276">
        <f t="shared" si="24"/>
        <v>-0.42870000000000003</v>
      </c>
    </row>
    <row r="277" spans="1:3" x14ac:dyDescent="0.3">
      <c r="A277">
        <v>3.0640667750000001</v>
      </c>
      <c r="B277">
        <v>0.42</v>
      </c>
      <c r="C277">
        <f t="shared" si="24"/>
        <v>-0.42</v>
      </c>
    </row>
    <row r="278" spans="1:3" x14ac:dyDescent="0.3">
      <c r="A278">
        <v>3.0752088359999998</v>
      </c>
      <c r="B278">
        <v>0.41099999999999998</v>
      </c>
      <c r="C278">
        <f t="shared" si="24"/>
        <v>-0.41099999999999998</v>
      </c>
    </row>
    <row r="279" spans="1:3" x14ac:dyDescent="0.3">
      <c r="A279">
        <v>3.086350897</v>
      </c>
      <c r="B279">
        <v>0.4017</v>
      </c>
      <c r="C279">
        <f t="shared" si="24"/>
        <v>-0.4017</v>
      </c>
    </row>
    <row r="280" spans="1:3" x14ac:dyDescent="0.3">
      <c r="A280">
        <v>3.0974929580000001</v>
      </c>
      <c r="B280">
        <v>0.39219999999999999</v>
      </c>
      <c r="C280">
        <f t="shared" si="24"/>
        <v>-0.39219999999999999</v>
      </c>
    </row>
    <row r="281" spans="1:3" x14ac:dyDescent="0.3">
      <c r="A281">
        <v>3.1086350189999998</v>
      </c>
      <c r="B281">
        <v>0.38240000000000002</v>
      </c>
      <c r="C281">
        <f t="shared" si="24"/>
        <v>-0.38240000000000002</v>
      </c>
    </row>
    <row r="282" spans="1:3" x14ac:dyDescent="0.3">
      <c r="A282">
        <v>3.11977708</v>
      </c>
      <c r="B282">
        <v>0.37240000000000001</v>
      </c>
      <c r="C282">
        <f t="shared" si="24"/>
        <v>-0.37240000000000001</v>
      </c>
    </row>
    <row r="283" spans="1:3" x14ac:dyDescent="0.3">
      <c r="A283">
        <v>3.1309191410000001</v>
      </c>
      <c r="B283">
        <v>0.36220000000000002</v>
      </c>
      <c r="C283">
        <f t="shared" si="24"/>
        <v>-0.36220000000000002</v>
      </c>
    </row>
    <row r="284" spans="1:3" x14ac:dyDescent="0.3">
      <c r="A284">
        <v>3.1420612019999998</v>
      </c>
      <c r="B284">
        <v>0.35160000000000002</v>
      </c>
      <c r="C284">
        <f t="shared" si="24"/>
        <v>-0.35160000000000002</v>
      </c>
    </row>
    <row r="285" spans="1:3" x14ac:dyDescent="0.3">
      <c r="A285">
        <v>3.153203263</v>
      </c>
      <c r="B285">
        <v>0.34079999999999999</v>
      </c>
      <c r="C285">
        <f t="shared" si="24"/>
        <v>-0.34079999999999999</v>
      </c>
    </row>
    <row r="286" spans="1:3" x14ac:dyDescent="0.3">
      <c r="A286">
        <v>3.1643453240000001</v>
      </c>
      <c r="B286">
        <v>0.32979999999999998</v>
      </c>
      <c r="C286">
        <f t="shared" si="24"/>
        <v>-0.32979999999999998</v>
      </c>
    </row>
    <row r="287" spans="1:3" x14ac:dyDescent="0.3">
      <c r="A287">
        <v>3.1754873849999998</v>
      </c>
      <c r="B287">
        <v>0.31850000000000001</v>
      </c>
      <c r="C287">
        <f t="shared" si="24"/>
        <v>-0.31850000000000001</v>
      </c>
    </row>
    <row r="288" spans="1:3" x14ac:dyDescent="0.3">
      <c r="A288">
        <v>3.186629446</v>
      </c>
      <c r="B288">
        <v>0.30690000000000001</v>
      </c>
      <c r="C288">
        <f t="shared" si="24"/>
        <v>-0.30690000000000001</v>
      </c>
    </row>
    <row r="289" spans="1:3" x14ac:dyDescent="0.3">
      <c r="A289">
        <v>3.1977715070000001</v>
      </c>
      <c r="B289">
        <v>0.29509999999999997</v>
      </c>
      <c r="C289">
        <f t="shared" si="24"/>
        <v>-0.29509999999999997</v>
      </c>
    </row>
    <row r="290" spans="1:3" x14ac:dyDescent="0.3">
      <c r="A290">
        <v>3.2089135679999998</v>
      </c>
      <c r="B290">
        <v>0.28310000000000002</v>
      </c>
      <c r="C290">
        <f t="shared" si="24"/>
        <v>-0.28310000000000002</v>
      </c>
    </row>
    <row r="291" spans="1:3" x14ac:dyDescent="0.3">
      <c r="A291">
        <v>3.220055629</v>
      </c>
      <c r="B291">
        <v>0.2707</v>
      </c>
      <c r="C291">
        <f t="shared" si="24"/>
        <v>-0.2707</v>
      </c>
    </row>
    <row r="292" spans="1:3" x14ac:dyDescent="0.3">
      <c r="A292">
        <v>3.2311976900000001</v>
      </c>
      <c r="B292">
        <v>0.2581</v>
      </c>
      <c r="C292">
        <f t="shared" si="24"/>
        <v>-0.2581</v>
      </c>
    </row>
    <row r="293" spans="1:3" x14ac:dyDescent="0.3">
      <c r="A293">
        <v>3.2423397509999998</v>
      </c>
      <c r="B293">
        <v>0.2452</v>
      </c>
      <c r="C293">
        <f t="shared" si="24"/>
        <v>-0.2452</v>
      </c>
    </row>
    <row r="294" spans="1:3" x14ac:dyDescent="0.3">
      <c r="A294">
        <v>3.253481812</v>
      </c>
      <c r="B294">
        <v>0.23200000000000001</v>
      </c>
      <c r="C294">
        <f t="shared" si="24"/>
        <v>-0.23200000000000001</v>
      </c>
    </row>
    <row r="295" spans="1:3" x14ac:dyDescent="0.3">
      <c r="A295">
        <v>3.2646238730000001</v>
      </c>
      <c r="B295">
        <v>0.21859999999999999</v>
      </c>
      <c r="C295">
        <f t="shared" si="24"/>
        <v>-0.21859999999999999</v>
      </c>
    </row>
    <row r="296" spans="1:3" x14ac:dyDescent="0.3">
      <c r="A296">
        <v>3.2757659339999998</v>
      </c>
      <c r="B296">
        <v>0.2049</v>
      </c>
      <c r="C296">
        <f t="shared" si="24"/>
        <v>-0.2049</v>
      </c>
    </row>
    <row r="297" spans="1:3" x14ac:dyDescent="0.3">
      <c r="A297">
        <v>3.286907995</v>
      </c>
      <c r="B297">
        <v>0.191</v>
      </c>
      <c r="C297">
        <f t="shared" si="24"/>
        <v>-0.191</v>
      </c>
    </row>
    <row r="298" spans="1:3" x14ac:dyDescent="0.3">
      <c r="A298">
        <v>3.2980500560000001</v>
      </c>
      <c r="B298">
        <v>0.1767</v>
      </c>
      <c r="C298">
        <f t="shared" si="24"/>
        <v>-0.1767</v>
      </c>
    </row>
    <row r="299" spans="1:3" x14ac:dyDescent="0.3">
      <c r="A299">
        <v>3.3091921169999998</v>
      </c>
      <c r="B299">
        <v>0.16220000000000001</v>
      </c>
      <c r="C299">
        <f t="shared" si="24"/>
        <v>-0.16220000000000001</v>
      </c>
    </row>
    <row r="300" spans="1:3" x14ac:dyDescent="0.3">
      <c r="A300">
        <v>3.320334178</v>
      </c>
      <c r="B300">
        <v>0.14749999999999999</v>
      </c>
      <c r="C300">
        <f t="shared" si="24"/>
        <v>-0.14749999999999999</v>
      </c>
    </row>
    <row r="301" spans="1:3" x14ac:dyDescent="0.3">
      <c r="A301">
        <v>3.3314762390000001</v>
      </c>
      <c r="B301">
        <v>0.13239999999999999</v>
      </c>
      <c r="C301">
        <f t="shared" si="24"/>
        <v>-0.13239999999999999</v>
      </c>
    </row>
    <row r="302" spans="1:3" x14ac:dyDescent="0.3">
      <c r="A302">
        <v>3.3426182999999998</v>
      </c>
      <c r="B302">
        <v>0.1171</v>
      </c>
      <c r="C302">
        <f t="shared" si="24"/>
        <v>-0.1171</v>
      </c>
    </row>
    <row r="303" spans="1:3" x14ac:dyDescent="0.3">
      <c r="A303">
        <v>3.353760361</v>
      </c>
      <c r="B303">
        <v>0.1016</v>
      </c>
      <c r="C303">
        <f t="shared" si="24"/>
        <v>-0.1016</v>
      </c>
    </row>
    <row r="304" spans="1:3" x14ac:dyDescent="0.3">
      <c r="A304">
        <v>3.3649024220000001</v>
      </c>
      <c r="B304">
        <v>8.5800000000000001E-2</v>
      </c>
      <c r="C304">
        <f t="shared" si="24"/>
        <v>-8.5800000000000001E-2</v>
      </c>
    </row>
    <row r="305" spans="1:3" x14ac:dyDescent="0.3">
      <c r="A305">
        <v>3.3760444829999998</v>
      </c>
      <c r="B305">
        <v>6.9699999999999998E-2</v>
      </c>
      <c r="C305">
        <f t="shared" si="24"/>
        <v>-6.9699999999999998E-2</v>
      </c>
    </row>
    <row r="306" spans="1:3" x14ac:dyDescent="0.3">
      <c r="A306">
        <v>3.387186544</v>
      </c>
      <c r="B306">
        <v>5.3499999999999999E-2</v>
      </c>
      <c r="C306">
        <f t="shared" si="24"/>
        <v>-5.3499999999999999E-2</v>
      </c>
    </row>
    <row r="307" spans="1:3" x14ac:dyDescent="0.3">
      <c r="A307">
        <v>3.3983286050000001</v>
      </c>
      <c r="B307">
        <v>3.6900000000000002E-2</v>
      </c>
      <c r="C307">
        <f t="shared" si="24"/>
        <v>-3.6900000000000002E-2</v>
      </c>
    </row>
    <row r="308" spans="1:3" x14ac:dyDescent="0.3">
      <c r="A308">
        <v>3.4094706659999998</v>
      </c>
      <c r="B308">
        <v>2.01E-2</v>
      </c>
      <c r="C308">
        <f t="shared" si="24"/>
        <v>-2.01E-2</v>
      </c>
    </row>
    <row r="309" spans="1:3" x14ac:dyDescent="0.3">
      <c r="A309">
        <v>3.420612727</v>
      </c>
      <c r="B309">
        <v>3.2000000000000002E-3</v>
      </c>
      <c r="C309">
        <f t="shared" si="24"/>
        <v>-3.2000000000000002E-3</v>
      </c>
    </row>
    <row r="310" spans="1:3" x14ac:dyDescent="0.3">
      <c r="A310">
        <v>3.4317547880000001</v>
      </c>
      <c r="B310">
        <v>-1.41E-2</v>
      </c>
      <c r="C310">
        <f t="shared" si="24"/>
        <v>1.41E-2</v>
      </c>
    </row>
    <row r="311" spans="1:3" x14ac:dyDescent="0.3">
      <c r="A311">
        <v>3.4428968489999998</v>
      </c>
      <c r="B311">
        <v>-3.15E-2</v>
      </c>
      <c r="C311">
        <f t="shared" si="24"/>
        <v>3.15E-2</v>
      </c>
    </row>
    <row r="312" spans="1:3" x14ac:dyDescent="0.3">
      <c r="A312">
        <v>3.45403891</v>
      </c>
      <c r="B312">
        <v>-4.9099999999999998E-2</v>
      </c>
      <c r="C312">
        <f t="shared" si="24"/>
        <v>4.9099999999999998E-2</v>
      </c>
    </row>
    <row r="313" spans="1:3" x14ac:dyDescent="0.3">
      <c r="A313">
        <v>3.4651809710000001</v>
      </c>
      <c r="B313">
        <v>-6.7000000000000004E-2</v>
      </c>
      <c r="C313">
        <f t="shared" si="24"/>
        <v>6.7000000000000004E-2</v>
      </c>
    </row>
    <row r="314" spans="1:3" x14ac:dyDescent="0.3">
      <c r="A314">
        <v>3.4763230319999998</v>
      </c>
      <c r="B314">
        <v>-8.5099999999999995E-2</v>
      </c>
      <c r="C314">
        <f t="shared" si="24"/>
        <v>8.5099999999999995E-2</v>
      </c>
    </row>
    <row r="315" spans="1:3" x14ac:dyDescent="0.3">
      <c r="A315">
        <v>3.487465093</v>
      </c>
      <c r="B315">
        <v>-0.1032</v>
      </c>
      <c r="C315">
        <f t="shared" si="24"/>
        <v>0.1032</v>
      </c>
    </row>
    <row r="316" spans="1:3" x14ac:dyDescent="0.3">
      <c r="A316">
        <v>3.4986071540000001</v>
      </c>
      <c r="B316">
        <v>-0.1216</v>
      </c>
      <c r="C316">
        <f t="shared" si="24"/>
        <v>0.1216</v>
      </c>
    </row>
    <row r="317" spans="1:3" x14ac:dyDescent="0.3">
      <c r="A317">
        <v>3.5097492149999998</v>
      </c>
      <c r="B317">
        <v>-0.14019999999999999</v>
      </c>
      <c r="C317">
        <f t="shared" si="24"/>
        <v>0.14019999999999999</v>
      </c>
    </row>
    <row r="318" spans="1:3" x14ac:dyDescent="0.3">
      <c r="A318">
        <v>3.520891276</v>
      </c>
      <c r="B318">
        <v>-0.1588</v>
      </c>
      <c r="C318">
        <f t="shared" si="24"/>
        <v>0.1588</v>
      </c>
    </row>
    <row r="319" spans="1:3" x14ac:dyDescent="0.3">
      <c r="A319">
        <v>3.5320333370000001</v>
      </c>
      <c r="B319">
        <v>-0.17760000000000001</v>
      </c>
      <c r="C319">
        <f t="shared" si="24"/>
        <v>0.17760000000000001</v>
      </c>
    </row>
    <row r="320" spans="1:3" x14ac:dyDescent="0.3">
      <c r="A320">
        <v>3.5431753979999998</v>
      </c>
      <c r="B320">
        <v>-0.19650000000000001</v>
      </c>
      <c r="C320">
        <f t="shared" si="24"/>
        <v>0.19650000000000001</v>
      </c>
    </row>
    <row r="321" spans="1:3" x14ac:dyDescent="0.3">
      <c r="A321">
        <v>3.554317459</v>
      </c>
      <c r="B321">
        <v>-0.2155</v>
      </c>
      <c r="C321">
        <f t="shared" si="24"/>
        <v>0.2155</v>
      </c>
    </row>
    <row r="322" spans="1:3" x14ac:dyDescent="0.3">
      <c r="A322">
        <v>3.5654595200000001</v>
      </c>
      <c r="B322">
        <v>-0.2346</v>
      </c>
      <c r="C322">
        <f t="shared" si="24"/>
        <v>0.2346</v>
      </c>
    </row>
    <row r="323" spans="1:3" x14ac:dyDescent="0.3">
      <c r="A323">
        <v>3.5766015809999998</v>
      </c>
      <c r="B323">
        <v>-0.25369999999999998</v>
      </c>
      <c r="C323">
        <f t="shared" ref="C323:C362" si="25">B323*-1</f>
        <v>0.25369999999999998</v>
      </c>
    </row>
    <row r="324" spans="1:3" x14ac:dyDescent="0.3">
      <c r="A324">
        <v>3.587743642</v>
      </c>
      <c r="B324">
        <v>-0.27279999999999999</v>
      </c>
      <c r="C324">
        <f t="shared" si="25"/>
        <v>0.27279999999999999</v>
      </c>
    </row>
    <row r="325" spans="1:3" x14ac:dyDescent="0.3">
      <c r="A325">
        <v>3.5988857030000001</v>
      </c>
      <c r="B325">
        <v>-0.29199999999999998</v>
      </c>
      <c r="C325">
        <f t="shared" si="25"/>
        <v>0.29199999999999998</v>
      </c>
    </row>
    <row r="326" spans="1:3" x14ac:dyDescent="0.3">
      <c r="A326">
        <v>3.6100277639999998</v>
      </c>
      <c r="B326">
        <v>-0.31119999999999998</v>
      </c>
      <c r="C326">
        <f t="shared" si="25"/>
        <v>0.31119999999999998</v>
      </c>
    </row>
    <row r="327" spans="1:3" x14ac:dyDescent="0.3">
      <c r="A327">
        <v>3.621169825</v>
      </c>
      <c r="B327">
        <v>-0.33040000000000003</v>
      </c>
      <c r="C327">
        <f t="shared" si="25"/>
        <v>0.33040000000000003</v>
      </c>
    </row>
    <row r="328" spans="1:3" x14ac:dyDescent="0.3">
      <c r="A328">
        <v>3.6323118860000001</v>
      </c>
      <c r="B328">
        <v>-0.34949999999999998</v>
      </c>
      <c r="C328">
        <f t="shared" si="25"/>
        <v>0.34949999999999998</v>
      </c>
    </row>
    <row r="329" spans="1:3" x14ac:dyDescent="0.3">
      <c r="A329">
        <v>3.6434539469999998</v>
      </c>
      <c r="B329">
        <v>-0.36849999999999999</v>
      </c>
      <c r="C329">
        <f t="shared" si="25"/>
        <v>0.36849999999999999</v>
      </c>
    </row>
    <row r="330" spans="1:3" x14ac:dyDescent="0.3">
      <c r="A330">
        <v>3.654596008</v>
      </c>
      <c r="B330">
        <v>-0.38750000000000001</v>
      </c>
      <c r="C330">
        <f t="shared" si="25"/>
        <v>0.38750000000000001</v>
      </c>
    </row>
    <row r="331" spans="1:3" x14ac:dyDescent="0.3">
      <c r="A331">
        <v>3.6657380690000001</v>
      </c>
      <c r="B331">
        <v>-0.40629999999999999</v>
      </c>
      <c r="C331">
        <f t="shared" si="25"/>
        <v>0.40629999999999999</v>
      </c>
    </row>
    <row r="332" spans="1:3" x14ac:dyDescent="0.3">
      <c r="A332">
        <v>3.6768801299999998</v>
      </c>
      <c r="B332">
        <v>-0.42499999999999999</v>
      </c>
      <c r="C332">
        <f t="shared" si="25"/>
        <v>0.42499999999999999</v>
      </c>
    </row>
    <row r="333" spans="1:3" x14ac:dyDescent="0.3">
      <c r="A333">
        <v>3.6880221909999999</v>
      </c>
      <c r="B333">
        <v>-0.44340000000000002</v>
      </c>
      <c r="C333">
        <f t="shared" si="25"/>
        <v>0.44340000000000002</v>
      </c>
    </row>
    <row r="334" spans="1:3" x14ac:dyDescent="0.3">
      <c r="A334">
        <v>3.6991642520000001</v>
      </c>
      <c r="B334">
        <v>-0.4617</v>
      </c>
      <c r="C334">
        <f t="shared" si="25"/>
        <v>0.4617</v>
      </c>
    </row>
    <row r="335" spans="1:3" x14ac:dyDescent="0.3">
      <c r="A335">
        <v>3.7103063129999998</v>
      </c>
      <c r="B335">
        <v>-0.4798</v>
      </c>
      <c r="C335">
        <f t="shared" si="25"/>
        <v>0.4798</v>
      </c>
    </row>
    <row r="336" spans="1:3" x14ac:dyDescent="0.3">
      <c r="A336">
        <v>3.7214483739999999</v>
      </c>
      <c r="B336">
        <v>-0.4975</v>
      </c>
      <c r="C336">
        <f t="shared" si="25"/>
        <v>0.4975</v>
      </c>
    </row>
    <row r="337" spans="1:3" x14ac:dyDescent="0.3">
      <c r="A337">
        <v>3.7325904350000001</v>
      </c>
      <c r="B337">
        <v>-0.51500000000000001</v>
      </c>
      <c r="C337">
        <f t="shared" si="25"/>
        <v>0.51500000000000001</v>
      </c>
    </row>
    <row r="338" spans="1:3" x14ac:dyDescent="0.3">
      <c r="A338">
        <v>3.7437324959999998</v>
      </c>
      <c r="B338">
        <v>-0.53210000000000002</v>
      </c>
      <c r="C338">
        <f t="shared" si="25"/>
        <v>0.53210000000000002</v>
      </c>
    </row>
    <row r="339" spans="1:3" x14ac:dyDescent="0.3">
      <c r="A339">
        <v>3.7548745569999999</v>
      </c>
      <c r="B339">
        <v>-0.54890000000000005</v>
      </c>
      <c r="C339">
        <f t="shared" si="25"/>
        <v>0.54890000000000005</v>
      </c>
    </row>
    <row r="340" spans="1:3" x14ac:dyDescent="0.3">
      <c r="A340">
        <v>3.7660166180000001</v>
      </c>
      <c r="B340">
        <v>-0.56540000000000001</v>
      </c>
      <c r="C340">
        <f t="shared" si="25"/>
        <v>0.56540000000000001</v>
      </c>
    </row>
    <row r="341" spans="1:3" x14ac:dyDescent="0.3">
      <c r="A341">
        <v>3.7771586789999998</v>
      </c>
      <c r="B341">
        <v>-0.58140000000000003</v>
      </c>
      <c r="C341">
        <f t="shared" si="25"/>
        <v>0.58140000000000003</v>
      </c>
    </row>
    <row r="342" spans="1:3" x14ac:dyDescent="0.3">
      <c r="A342">
        <v>3.7883007399999999</v>
      </c>
      <c r="B342">
        <v>-0.59699999999999998</v>
      </c>
      <c r="C342">
        <f t="shared" si="25"/>
        <v>0.59699999999999998</v>
      </c>
    </row>
    <row r="343" spans="1:3" x14ac:dyDescent="0.3">
      <c r="A343">
        <v>3.7994428010000001</v>
      </c>
      <c r="B343">
        <v>-0.61209999999999998</v>
      </c>
      <c r="C343">
        <f t="shared" si="25"/>
        <v>0.61209999999999998</v>
      </c>
    </row>
    <row r="344" spans="1:3" x14ac:dyDescent="0.3">
      <c r="A344">
        <v>3.8105848619999998</v>
      </c>
      <c r="B344">
        <v>-0.62670000000000003</v>
      </c>
      <c r="C344">
        <f t="shared" si="25"/>
        <v>0.62670000000000003</v>
      </c>
    </row>
    <row r="345" spans="1:3" x14ac:dyDescent="0.3">
      <c r="A345">
        <v>3.8217269229999999</v>
      </c>
      <c r="B345">
        <v>-0.64080000000000004</v>
      </c>
      <c r="C345">
        <f t="shared" si="25"/>
        <v>0.64080000000000004</v>
      </c>
    </row>
    <row r="346" spans="1:3" x14ac:dyDescent="0.3">
      <c r="A346">
        <v>3.8328689840000001</v>
      </c>
      <c r="B346">
        <v>-0.65429999999999999</v>
      </c>
      <c r="C346">
        <f t="shared" si="25"/>
        <v>0.65429999999999999</v>
      </c>
    </row>
    <row r="347" spans="1:3" x14ac:dyDescent="0.3">
      <c r="A347">
        <v>3.8440110449999998</v>
      </c>
      <c r="B347">
        <v>-0.66739999999999999</v>
      </c>
      <c r="C347">
        <f t="shared" si="25"/>
        <v>0.66739999999999999</v>
      </c>
    </row>
    <row r="348" spans="1:3" x14ac:dyDescent="0.3">
      <c r="A348">
        <v>3.8551531059999999</v>
      </c>
      <c r="B348">
        <v>-0.67979999999999996</v>
      </c>
      <c r="C348">
        <f t="shared" si="25"/>
        <v>0.67979999999999996</v>
      </c>
    </row>
    <row r="349" spans="1:3" x14ac:dyDescent="0.3">
      <c r="A349">
        <v>3.8662951670000001</v>
      </c>
      <c r="B349">
        <v>-0.69159999999999999</v>
      </c>
      <c r="C349">
        <f t="shared" si="25"/>
        <v>0.69159999999999999</v>
      </c>
    </row>
    <row r="350" spans="1:3" x14ac:dyDescent="0.3">
      <c r="A350">
        <v>3.8774372279999998</v>
      </c>
      <c r="B350">
        <v>-0.70279999999999998</v>
      </c>
      <c r="C350">
        <f t="shared" si="25"/>
        <v>0.70279999999999998</v>
      </c>
    </row>
    <row r="351" spans="1:3" x14ac:dyDescent="0.3">
      <c r="A351">
        <v>3.8885792889999999</v>
      </c>
      <c r="B351">
        <v>-0.71330000000000005</v>
      </c>
      <c r="C351">
        <f t="shared" si="25"/>
        <v>0.71330000000000005</v>
      </c>
    </row>
    <row r="352" spans="1:3" x14ac:dyDescent="0.3">
      <c r="A352">
        <v>3.8997213500000001</v>
      </c>
      <c r="B352">
        <v>-0.72309999999999997</v>
      </c>
      <c r="C352">
        <f t="shared" si="25"/>
        <v>0.72309999999999997</v>
      </c>
    </row>
    <row r="353" spans="1:3" x14ac:dyDescent="0.3">
      <c r="A353">
        <v>3.9108634109999998</v>
      </c>
      <c r="B353">
        <v>-0.73229999999999995</v>
      </c>
      <c r="C353">
        <f t="shared" si="25"/>
        <v>0.73229999999999995</v>
      </c>
    </row>
    <row r="354" spans="1:3" x14ac:dyDescent="0.3">
      <c r="A354">
        <v>3.9220054719999999</v>
      </c>
      <c r="B354">
        <v>-0.74070000000000003</v>
      </c>
      <c r="C354">
        <f t="shared" si="25"/>
        <v>0.74070000000000003</v>
      </c>
    </row>
    <row r="355" spans="1:3" x14ac:dyDescent="0.3">
      <c r="A355">
        <v>3.9331475330000001</v>
      </c>
      <c r="B355">
        <v>-0.74850000000000005</v>
      </c>
      <c r="C355">
        <f t="shared" si="25"/>
        <v>0.74850000000000005</v>
      </c>
    </row>
    <row r="356" spans="1:3" x14ac:dyDescent="0.3">
      <c r="A356">
        <v>3.9442895939999998</v>
      </c>
      <c r="B356">
        <v>-0.75549999999999995</v>
      </c>
      <c r="C356">
        <f t="shared" si="25"/>
        <v>0.75549999999999995</v>
      </c>
    </row>
    <row r="357" spans="1:3" x14ac:dyDescent="0.3">
      <c r="A357">
        <v>3.9554316549999999</v>
      </c>
      <c r="B357">
        <v>-0.76170000000000004</v>
      </c>
      <c r="C357">
        <f t="shared" si="25"/>
        <v>0.76170000000000004</v>
      </c>
    </row>
    <row r="358" spans="1:3" x14ac:dyDescent="0.3">
      <c r="A358">
        <v>3.9665737160000001</v>
      </c>
      <c r="B358">
        <v>-0.76729999999999998</v>
      </c>
      <c r="C358">
        <f t="shared" si="25"/>
        <v>0.76729999999999998</v>
      </c>
    </row>
    <row r="359" spans="1:3" x14ac:dyDescent="0.3">
      <c r="A359">
        <v>3.9777157769999998</v>
      </c>
      <c r="B359">
        <v>-0.77210000000000001</v>
      </c>
      <c r="C359">
        <f t="shared" si="25"/>
        <v>0.77210000000000001</v>
      </c>
    </row>
    <row r="360" spans="1:3" x14ac:dyDescent="0.3">
      <c r="A360">
        <v>3.9888578379999999</v>
      </c>
      <c r="B360">
        <v>-0.77629999999999999</v>
      </c>
      <c r="C360">
        <f t="shared" si="25"/>
        <v>0.77629999999999999</v>
      </c>
    </row>
    <row r="361" spans="1:3" x14ac:dyDescent="0.3">
      <c r="A361">
        <v>3.9999998990000001</v>
      </c>
      <c r="B361">
        <v>-0.77969999999999995</v>
      </c>
      <c r="C361">
        <f t="shared" si="25"/>
        <v>0.77969999999999995</v>
      </c>
    </row>
    <row r="362" spans="1:3" x14ac:dyDescent="0.3">
      <c r="B362">
        <v>-0.7823</v>
      </c>
      <c r="C362">
        <f t="shared" si="25"/>
        <v>0.7823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CE98-12AE-460D-A336-97FA52AF01A9}">
  <dimension ref="A1:D362"/>
  <sheetViews>
    <sheetView workbookViewId="0">
      <selection activeCell="D1" sqref="D1:D1048576"/>
    </sheetView>
  </sheetViews>
  <sheetFormatPr defaultRowHeight="14.4" x14ac:dyDescent="0.3"/>
  <cols>
    <col min="1" max="1" width="13.88671875" bestFit="1" customWidth="1"/>
    <col min="2" max="2" width="20" bestFit="1" customWidth="1"/>
    <col min="3" max="3" width="21.21875" bestFit="1" customWidth="1"/>
    <col min="4" max="4" width="22.4414062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0</v>
      </c>
      <c r="B2">
        <v>1.5708</v>
      </c>
      <c r="C2">
        <v>-0.78220000000000001</v>
      </c>
      <c r="D2">
        <v>-0.7823</v>
      </c>
    </row>
    <row r="3" spans="1:4" x14ac:dyDescent="0.3">
      <c r="A3">
        <v>2.7415567780803771E-2</v>
      </c>
      <c r="B3">
        <v>1.5708</v>
      </c>
      <c r="C3">
        <v>-0.76359999999999995</v>
      </c>
      <c r="D3">
        <v>-0.7843</v>
      </c>
    </row>
    <row r="4" spans="1:4" x14ac:dyDescent="0.3">
      <c r="A4">
        <v>5.4831135561607541E-2</v>
      </c>
      <c r="B4">
        <v>1.5708</v>
      </c>
      <c r="C4">
        <v>-0.74429999999999996</v>
      </c>
      <c r="D4">
        <v>-0.78549999999999998</v>
      </c>
    </row>
    <row r="5" spans="1:4" x14ac:dyDescent="0.3">
      <c r="A5">
        <v>8.2246703342411312E-2</v>
      </c>
      <c r="B5">
        <v>1.5708</v>
      </c>
      <c r="C5">
        <v>-0.72430000000000005</v>
      </c>
      <c r="D5">
        <v>-0.78610000000000002</v>
      </c>
    </row>
    <row r="6" spans="1:4" x14ac:dyDescent="0.3">
      <c r="A6">
        <v>0.10966227112321508</v>
      </c>
      <c r="B6">
        <v>1.5708</v>
      </c>
      <c r="C6">
        <v>-0.70369999999999999</v>
      </c>
      <c r="D6">
        <v>-0.78600000000000003</v>
      </c>
    </row>
    <row r="7" spans="1:4" x14ac:dyDescent="0.3">
      <c r="A7">
        <v>0.13707783890401884</v>
      </c>
      <c r="B7">
        <v>1.5708</v>
      </c>
      <c r="C7">
        <v>-0.6825</v>
      </c>
      <c r="D7">
        <v>-0.78520000000000001</v>
      </c>
    </row>
    <row r="8" spans="1:4" x14ac:dyDescent="0.3">
      <c r="A8">
        <v>0.16449340668482262</v>
      </c>
      <c r="B8">
        <v>1.5708</v>
      </c>
      <c r="C8">
        <v>-0.66080000000000005</v>
      </c>
      <c r="D8">
        <v>-0.78380000000000005</v>
      </c>
    </row>
    <row r="9" spans="1:4" x14ac:dyDescent="0.3">
      <c r="A9">
        <v>0.19190897446562641</v>
      </c>
      <c r="B9">
        <v>1.5708</v>
      </c>
      <c r="C9">
        <v>-0.63849999999999996</v>
      </c>
      <c r="D9">
        <v>-0.78169999999999995</v>
      </c>
    </row>
    <row r="10" spans="1:4" x14ac:dyDescent="0.3">
      <c r="A10">
        <v>0.21932454224643017</v>
      </c>
      <c r="B10">
        <v>1.5708</v>
      </c>
      <c r="C10">
        <v>-0.61570000000000003</v>
      </c>
      <c r="D10">
        <v>-0.77910000000000001</v>
      </c>
    </row>
    <row r="11" spans="1:4" x14ac:dyDescent="0.3">
      <c r="A11">
        <v>0.24674011002723395</v>
      </c>
      <c r="B11">
        <v>1.5708</v>
      </c>
      <c r="C11">
        <v>-0.59260000000000002</v>
      </c>
      <c r="D11">
        <v>-0.77590000000000003</v>
      </c>
    </row>
    <row r="12" spans="1:4" x14ac:dyDescent="0.3">
      <c r="A12">
        <v>0.27415567780803768</v>
      </c>
      <c r="B12">
        <v>1.5708</v>
      </c>
      <c r="C12">
        <v>-0.56899999999999995</v>
      </c>
      <c r="D12">
        <v>-0.77200000000000002</v>
      </c>
    </row>
    <row r="13" spans="1:4" x14ac:dyDescent="0.3">
      <c r="A13">
        <v>0.30157124558884146</v>
      </c>
      <c r="B13">
        <v>1.5708</v>
      </c>
      <c r="C13">
        <v>-0.54510000000000003</v>
      </c>
      <c r="D13">
        <v>-0.76770000000000005</v>
      </c>
    </row>
    <row r="14" spans="1:4" x14ac:dyDescent="0.3">
      <c r="A14">
        <v>0.32898681336964525</v>
      </c>
      <c r="B14">
        <v>1.5708</v>
      </c>
      <c r="C14">
        <v>-0.52080000000000004</v>
      </c>
      <c r="D14">
        <v>-0.76290000000000002</v>
      </c>
    </row>
    <row r="15" spans="1:4" x14ac:dyDescent="0.3">
      <c r="A15">
        <v>0.35640238115044909</v>
      </c>
      <c r="B15">
        <v>1.5708</v>
      </c>
      <c r="C15">
        <v>-0.49630000000000002</v>
      </c>
      <c r="D15">
        <v>-0.75749999999999995</v>
      </c>
    </row>
    <row r="16" spans="1:4" x14ac:dyDescent="0.3">
      <c r="A16">
        <v>0.38381794893125282</v>
      </c>
      <c r="B16">
        <v>1.5708</v>
      </c>
      <c r="C16">
        <v>-0.47149999999999997</v>
      </c>
      <c r="D16">
        <v>-0.75180000000000002</v>
      </c>
    </row>
    <row r="17" spans="1:4" x14ac:dyDescent="0.3">
      <c r="A17">
        <v>0.41123351671205655</v>
      </c>
      <c r="B17">
        <v>1.5708</v>
      </c>
      <c r="C17">
        <v>-0.44650000000000001</v>
      </c>
      <c r="D17">
        <v>-0.74560000000000004</v>
      </c>
    </row>
    <row r="18" spans="1:4" x14ac:dyDescent="0.3">
      <c r="A18">
        <v>0.43864908449286033</v>
      </c>
      <c r="B18">
        <v>1.5708</v>
      </c>
      <c r="C18">
        <v>-0.4214</v>
      </c>
      <c r="D18">
        <v>-0.7389</v>
      </c>
    </row>
    <row r="19" spans="1:4" x14ac:dyDescent="0.3">
      <c r="A19">
        <v>0.46606465227366412</v>
      </c>
      <c r="B19">
        <v>1.5708</v>
      </c>
      <c r="C19">
        <v>-0.39610000000000001</v>
      </c>
      <c r="D19">
        <v>-0.7319</v>
      </c>
    </row>
    <row r="20" spans="1:4" x14ac:dyDescent="0.3">
      <c r="A20">
        <v>0.4934802200544679</v>
      </c>
      <c r="B20">
        <v>1.5708</v>
      </c>
      <c r="C20">
        <v>-0.37080000000000002</v>
      </c>
      <c r="D20">
        <v>-0.72460000000000002</v>
      </c>
    </row>
    <row r="21" spans="1:4" x14ac:dyDescent="0.3">
      <c r="A21">
        <v>0.52089578783527157</v>
      </c>
      <c r="B21">
        <v>1.5708</v>
      </c>
      <c r="C21">
        <v>-0.34549999999999997</v>
      </c>
      <c r="D21">
        <v>-0.71689999999999998</v>
      </c>
    </row>
    <row r="22" spans="1:4" x14ac:dyDescent="0.3">
      <c r="A22">
        <v>0.54831135561607536</v>
      </c>
      <c r="B22">
        <v>1.5708</v>
      </c>
      <c r="C22">
        <v>-0.32</v>
      </c>
      <c r="D22">
        <v>-0.70889999999999997</v>
      </c>
    </row>
    <row r="23" spans="1:4" x14ac:dyDescent="0.3">
      <c r="A23">
        <v>0.57572692339687925</v>
      </c>
      <c r="B23">
        <v>1.5708</v>
      </c>
      <c r="C23">
        <v>-0.29459999999999997</v>
      </c>
      <c r="D23">
        <v>-0.7006</v>
      </c>
    </row>
    <row r="24" spans="1:4" x14ac:dyDescent="0.3">
      <c r="A24">
        <v>0.60314249117768293</v>
      </c>
      <c r="B24">
        <v>1.5708</v>
      </c>
      <c r="C24">
        <v>-0.26919999999999999</v>
      </c>
      <c r="D24">
        <v>-0.69210000000000005</v>
      </c>
    </row>
    <row r="25" spans="1:4" x14ac:dyDescent="0.3">
      <c r="A25">
        <v>0.63055805895848671</v>
      </c>
      <c r="B25">
        <v>1.5708</v>
      </c>
      <c r="C25">
        <v>-0.24399999999999999</v>
      </c>
      <c r="D25">
        <v>-0.68330000000000002</v>
      </c>
    </row>
    <row r="26" spans="1:4" x14ac:dyDescent="0.3">
      <c r="A26">
        <v>0.6579736267392905</v>
      </c>
      <c r="B26">
        <v>1.5708</v>
      </c>
      <c r="C26">
        <v>-0.21879999999999999</v>
      </c>
      <c r="D26">
        <v>-0.6744</v>
      </c>
    </row>
    <row r="27" spans="1:4" x14ac:dyDescent="0.3">
      <c r="A27">
        <v>0.68538919452009428</v>
      </c>
      <c r="B27">
        <v>1.5708</v>
      </c>
      <c r="C27">
        <v>-0.19370000000000001</v>
      </c>
      <c r="D27">
        <v>-0.66520000000000001</v>
      </c>
    </row>
    <row r="28" spans="1:4" x14ac:dyDescent="0.3">
      <c r="A28">
        <v>0.71280476230089818</v>
      </c>
      <c r="B28">
        <v>1.5708</v>
      </c>
      <c r="C28">
        <v>-0.16880000000000001</v>
      </c>
      <c r="D28">
        <v>-0.65590000000000004</v>
      </c>
    </row>
    <row r="29" spans="1:4" x14ac:dyDescent="0.3">
      <c r="A29">
        <v>0.74022033008170185</v>
      </c>
      <c r="B29">
        <v>1.5708</v>
      </c>
      <c r="C29">
        <v>-0.14419999999999999</v>
      </c>
      <c r="D29">
        <v>-0.64649999999999996</v>
      </c>
    </row>
    <row r="30" spans="1:4" x14ac:dyDescent="0.3">
      <c r="A30">
        <v>0.76763589786250563</v>
      </c>
      <c r="B30">
        <v>1.5708</v>
      </c>
      <c r="C30">
        <v>-0.1197</v>
      </c>
      <c r="D30">
        <v>-0.63690000000000002</v>
      </c>
    </row>
    <row r="31" spans="1:4" x14ac:dyDescent="0.3">
      <c r="A31">
        <v>0.79505146564330942</v>
      </c>
      <c r="B31">
        <v>1.5708</v>
      </c>
      <c r="C31">
        <v>-9.5399999999999999E-2</v>
      </c>
      <c r="D31">
        <v>-0.62719999999999998</v>
      </c>
    </row>
    <row r="32" spans="1:4" x14ac:dyDescent="0.3">
      <c r="A32">
        <v>0.82246703342411309</v>
      </c>
      <c r="B32">
        <v>1.5708</v>
      </c>
      <c r="C32">
        <v>-7.1400000000000005E-2</v>
      </c>
      <c r="D32">
        <v>-0.61750000000000005</v>
      </c>
    </row>
    <row r="33" spans="1:4" x14ac:dyDescent="0.3">
      <c r="A33">
        <v>0.84988260120491688</v>
      </c>
      <c r="B33">
        <v>1.5708</v>
      </c>
      <c r="C33">
        <v>-4.7699999999999999E-2</v>
      </c>
      <c r="D33">
        <v>-0.60770000000000002</v>
      </c>
    </row>
    <row r="34" spans="1:4" x14ac:dyDescent="0.3">
      <c r="A34">
        <v>0.87729816898572066</v>
      </c>
      <c r="B34">
        <v>1.5708</v>
      </c>
      <c r="C34">
        <v>-2.4299999999999999E-2</v>
      </c>
      <c r="D34">
        <v>-0.5978</v>
      </c>
    </row>
    <row r="35" spans="1:4" x14ac:dyDescent="0.3">
      <c r="A35">
        <v>0.90471373676652445</v>
      </c>
      <c r="B35">
        <v>1.5708</v>
      </c>
      <c r="C35">
        <v>-1.1000000000000001E-3</v>
      </c>
      <c r="D35">
        <v>-0.58789999999999998</v>
      </c>
    </row>
    <row r="36" spans="1:4" x14ac:dyDescent="0.3">
      <c r="A36">
        <v>0.93212930454732823</v>
      </c>
      <c r="B36">
        <v>1.5708</v>
      </c>
      <c r="C36">
        <v>2.1700000000000001E-2</v>
      </c>
      <c r="D36">
        <v>-0.57799999999999996</v>
      </c>
    </row>
    <row r="37" spans="1:4" x14ac:dyDescent="0.3">
      <c r="A37">
        <v>0.95954487232813201</v>
      </c>
      <c r="B37">
        <v>1.5708</v>
      </c>
      <c r="C37">
        <v>4.4200000000000003E-2</v>
      </c>
      <c r="D37">
        <v>-0.56810000000000005</v>
      </c>
    </row>
    <row r="38" spans="1:4" x14ac:dyDescent="0.3">
      <c r="A38">
        <v>0.9869604401089358</v>
      </c>
      <c r="B38">
        <v>1.5708</v>
      </c>
      <c r="C38">
        <v>6.6400000000000001E-2</v>
      </c>
      <c r="D38">
        <v>-0.55820000000000003</v>
      </c>
    </row>
    <row r="39" spans="1:4" x14ac:dyDescent="0.3">
      <c r="A39">
        <v>1.0143760078897397</v>
      </c>
      <c r="B39">
        <v>1.5708</v>
      </c>
      <c r="C39">
        <v>8.8200000000000001E-2</v>
      </c>
      <c r="D39">
        <v>-0.54830000000000001</v>
      </c>
    </row>
    <row r="40" spans="1:4" x14ac:dyDescent="0.3">
      <c r="A40">
        <v>1.0417915756705431</v>
      </c>
      <c r="B40">
        <v>1.5708</v>
      </c>
      <c r="C40">
        <v>0.1096</v>
      </c>
      <c r="D40">
        <v>-0.53849999999999998</v>
      </c>
    </row>
    <row r="41" spans="1:4" x14ac:dyDescent="0.3">
      <c r="A41">
        <v>1.069207143451347</v>
      </c>
      <c r="B41">
        <v>1.5708</v>
      </c>
      <c r="C41">
        <v>0.13070000000000001</v>
      </c>
      <c r="D41">
        <v>-0.52859999999999996</v>
      </c>
    </row>
    <row r="42" spans="1:4" x14ac:dyDescent="0.3">
      <c r="A42">
        <v>1.0966227112321507</v>
      </c>
      <c r="B42">
        <v>1.5708</v>
      </c>
      <c r="C42">
        <v>0.15140000000000001</v>
      </c>
      <c r="D42">
        <v>-0.51890000000000003</v>
      </c>
    </row>
    <row r="43" spans="1:4" x14ac:dyDescent="0.3">
      <c r="A43">
        <v>1.1240382790129546</v>
      </c>
      <c r="B43">
        <v>1.5708</v>
      </c>
      <c r="C43">
        <v>0.17169999999999999</v>
      </c>
      <c r="D43">
        <v>-0.50919999999999999</v>
      </c>
    </row>
    <row r="44" spans="1:4" x14ac:dyDescent="0.3">
      <c r="A44">
        <v>1.1514538467937585</v>
      </c>
      <c r="B44">
        <v>1.5708</v>
      </c>
      <c r="C44">
        <v>0.19170000000000001</v>
      </c>
      <c r="D44">
        <v>-0.4995</v>
      </c>
    </row>
    <row r="45" spans="1:4" x14ac:dyDescent="0.3">
      <c r="A45">
        <v>1.1788694145745622</v>
      </c>
      <c r="B45">
        <v>1.5708</v>
      </c>
      <c r="C45">
        <v>0.2112</v>
      </c>
      <c r="D45">
        <v>-0.4899</v>
      </c>
    </row>
    <row r="46" spans="1:4" x14ac:dyDescent="0.3">
      <c r="A46">
        <v>1.2062849823553659</v>
      </c>
      <c r="B46">
        <v>1.5708</v>
      </c>
      <c r="C46">
        <v>0.23039999999999999</v>
      </c>
      <c r="D46">
        <v>-0.48049999999999998</v>
      </c>
    </row>
    <row r="47" spans="1:4" x14ac:dyDescent="0.3">
      <c r="A47">
        <v>1.2337005501361697</v>
      </c>
      <c r="B47">
        <v>1.5708</v>
      </c>
      <c r="C47">
        <v>0.2492</v>
      </c>
      <c r="D47">
        <v>-0.47099999999999997</v>
      </c>
    </row>
    <row r="48" spans="1:4" x14ac:dyDescent="0.3">
      <c r="A48">
        <v>1.2611161179169734</v>
      </c>
      <c r="B48">
        <v>1.5708</v>
      </c>
      <c r="C48">
        <v>0.2676</v>
      </c>
      <c r="D48">
        <v>-0.4617</v>
      </c>
    </row>
    <row r="49" spans="1:4" x14ac:dyDescent="0.3">
      <c r="A49">
        <v>1.2885316856977775</v>
      </c>
      <c r="B49">
        <v>1.5708</v>
      </c>
      <c r="C49">
        <v>0.28560000000000002</v>
      </c>
      <c r="D49">
        <v>-0.45250000000000001</v>
      </c>
    </row>
    <row r="50" spans="1:4" x14ac:dyDescent="0.3">
      <c r="A50">
        <v>1.315947253478581</v>
      </c>
      <c r="B50">
        <v>1.5708</v>
      </c>
      <c r="C50">
        <v>0.30330000000000001</v>
      </c>
      <c r="D50">
        <v>-0.44340000000000002</v>
      </c>
    </row>
    <row r="51" spans="1:4" x14ac:dyDescent="0.3">
      <c r="A51">
        <v>1.3433628212593847</v>
      </c>
      <c r="B51">
        <v>1.5708</v>
      </c>
      <c r="C51">
        <v>0.32040000000000002</v>
      </c>
      <c r="D51">
        <v>-0.43430000000000002</v>
      </c>
    </row>
    <row r="52" spans="1:4" x14ac:dyDescent="0.3">
      <c r="A52">
        <v>1.3707783890401886</v>
      </c>
      <c r="B52">
        <v>1.5708</v>
      </c>
      <c r="C52">
        <v>0.33729999999999999</v>
      </c>
      <c r="D52">
        <v>-0.4254</v>
      </c>
    </row>
    <row r="53" spans="1:4" x14ac:dyDescent="0.3">
      <c r="A53">
        <v>1.3981939568209922</v>
      </c>
      <c r="B53">
        <v>1.5708</v>
      </c>
      <c r="C53">
        <v>0.35370000000000001</v>
      </c>
      <c r="D53">
        <v>-0.41660000000000003</v>
      </c>
    </row>
    <row r="54" spans="1:4" x14ac:dyDescent="0.3">
      <c r="A54">
        <v>1.4256095246017964</v>
      </c>
      <c r="B54">
        <v>1.5708</v>
      </c>
      <c r="C54">
        <v>0.36980000000000002</v>
      </c>
      <c r="D54">
        <v>-0.40789999999999998</v>
      </c>
    </row>
    <row r="55" spans="1:4" x14ac:dyDescent="0.3">
      <c r="A55">
        <v>1.4530250923826</v>
      </c>
      <c r="B55">
        <v>1.5708</v>
      </c>
      <c r="C55">
        <v>0.38550000000000001</v>
      </c>
      <c r="D55">
        <v>-0.39929999999999999</v>
      </c>
    </row>
    <row r="56" spans="1:4" x14ac:dyDescent="0.3">
      <c r="A56">
        <v>1.4804406601634037</v>
      </c>
      <c r="B56">
        <v>1.5708</v>
      </c>
      <c r="C56">
        <v>0.40079999999999999</v>
      </c>
      <c r="D56">
        <v>-0.39079999999999998</v>
      </c>
    </row>
    <row r="57" spans="1:4" x14ac:dyDescent="0.3">
      <c r="A57">
        <v>1.5078562279442076</v>
      </c>
      <c r="B57">
        <v>1.5708</v>
      </c>
      <c r="C57">
        <v>0.41570000000000001</v>
      </c>
      <c r="D57">
        <v>-0.38240000000000002</v>
      </c>
    </row>
    <row r="58" spans="1:4" x14ac:dyDescent="0.3">
      <c r="A58">
        <v>1.5352717957250113</v>
      </c>
      <c r="B58">
        <v>1.5708</v>
      </c>
      <c r="C58">
        <v>0.43030000000000002</v>
      </c>
      <c r="D58">
        <v>-0.37409999999999999</v>
      </c>
    </row>
    <row r="59" spans="1:4" x14ac:dyDescent="0.3">
      <c r="A59">
        <v>1.5626873635058147</v>
      </c>
      <c r="B59">
        <v>1.5708</v>
      </c>
      <c r="C59">
        <v>0.44450000000000001</v>
      </c>
      <c r="D59">
        <v>-0.3659</v>
      </c>
    </row>
    <row r="60" spans="1:4" x14ac:dyDescent="0.3">
      <c r="A60">
        <v>1.5901029312866188</v>
      </c>
      <c r="B60">
        <v>1.5708</v>
      </c>
      <c r="C60">
        <v>0.45839999999999997</v>
      </c>
      <c r="D60">
        <v>-0.35780000000000001</v>
      </c>
    </row>
    <row r="61" spans="1:4" x14ac:dyDescent="0.3">
      <c r="A61">
        <v>1.6175184990674223</v>
      </c>
      <c r="B61">
        <v>1.5708</v>
      </c>
      <c r="C61">
        <v>0.4718</v>
      </c>
      <c r="D61">
        <v>-0.34989999999999999</v>
      </c>
    </row>
    <row r="62" spans="1:4" x14ac:dyDescent="0.3">
      <c r="A62">
        <v>1.6449340668482262</v>
      </c>
      <c r="B62">
        <v>1.5708</v>
      </c>
      <c r="C62">
        <v>0.48499999999999999</v>
      </c>
      <c r="D62">
        <v>-0.34200000000000003</v>
      </c>
    </row>
    <row r="63" spans="1:4" x14ac:dyDescent="0.3">
      <c r="A63">
        <v>1.6723496346290303</v>
      </c>
      <c r="B63">
        <v>1.5708</v>
      </c>
      <c r="C63">
        <v>0.49769999999999998</v>
      </c>
      <c r="D63">
        <v>-0.33429999999999999</v>
      </c>
    </row>
    <row r="64" spans="1:4" x14ac:dyDescent="0.3">
      <c r="A64">
        <v>1.6997652024098338</v>
      </c>
      <c r="B64">
        <v>1.5708</v>
      </c>
      <c r="C64">
        <v>0.5101</v>
      </c>
      <c r="D64">
        <v>-0.32669999999999999</v>
      </c>
    </row>
    <row r="65" spans="1:4" x14ac:dyDescent="0.3">
      <c r="A65">
        <v>1.7271807701906379</v>
      </c>
      <c r="B65">
        <v>1.5708</v>
      </c>
      <c r="C65">
        <v>0.5222</v>
      </c>
      <c r="D65">
        <v>-0.31919999999999998</v>
      </c>
    </row>
    <row r="66" spans="1:4" x14ac:dyDescent="0.3">
      <c r="A66">
        <v>1.7545963379714413</v>
      </c>
      <c r="B66">
        <v>1.5708</v>
      </c>
      <c r="C66">
        <v>0.53390000000000004</v>
      </c>
      <c r="D66">
        <v>-0.31180000000000002</v>
      </c>
    </row>
    <row r="67" spans="1:4" x14ac:dyDescent="0.3">
      <c r="A67">
        <v>1.782011905752245</v>
      </c>
      <c r="B67">
        <v>1.5708</v>
      </c>
      <c r="C67">
        <v>0.54530000000000001</v>
      </c>
      <c r="D67">
        <v>-0.30449999999999999</v>
      </c>
    </row>
    <row r="68" spans="1:4" x14ac:dyDescent="0.3">
      <c r="A68">
        <v>1.8094274735330489</v>
      </c>
      <c r="B68">
        <v>1.5708</v>
      </c>
      <c r="C68">
        <v>0.55640000000000001</v>
      </c>
      <c r="D68">
        <v>-0.29730000000000001</v>
      </c>
    </row>
    <row r="69" spans="1:4" x14ac:dyDescent="0.3">
      <c r="A69">
        <v>1.8368430413138526</v>
      </c>
      <c r="B69">
        <v>1.5708</v>
      </c>
      <c r="C69">
        <v>0.56720000000000004</v>
      </c>
      <c r="D69">
        <v>-0.29010000000000002</v>
      </c>
    </row>
    <row r="70" spans="1:4" x14ac:dyDescent="0.3">
      <c r="A70">
        <v>1.8642586090946565</v>
      </c>
      <c r="B70">
        <v>1.5708</v>
      </c>
      <c r="C70">
        <v>0.57769999999999999</v>
      </c>
      <c r="D70">
        <v>-0.28310000000000002</v>
      </c>
    </row>
    <row r="71" spans="1:4" x14ac:dyDescent="0.3">
      <c r="A71">
        <v>1.8916741768754601</v>
      </c>
      <c r="B71">
        <v>1.5708</v>
      </c>
      <c r="C71">
        <v>0.58779999999999999</v>
      </c>
      <c r="D71">
        <v>-0.2762</v>
      </c>
    </row>
    <row r="72" spans="1:4" x14ac:dyDescent="0.3">
      <c r="A72">
        <v>1.919089744656264</v>
      </c>
      <c r="B72">
        <v>1.5708</v>
      </c>
      <c r="C72">
        <v>0.59760000000000002</v>
      </c>
      <c r="D72">
        <v>-0.26939999999999997</v>
      </c>
    </row>
    <row r="73" spans="1:4" x14ac:dyDescent="0.3">
      <c r="A73">
        <v>1.9465053124370677</v>
      </c>
      <c r="B73">
        <v>1.5708</v>
      </c>
      <c r="C73">
        <v>0.60709999999999997</v>
      </c>
      <c r="D73">
        <v>-0.2626</v>
      </c>
    </row>
    <row r="74" spans="1:4" x14ac:dyDescent="0.3">
      <c r="A74">
        <v>1.9739208802178716</v>
      </c>
      <c r="B74">
        <v>1.5708</v>
      </c>
      <c r="C74">
        <v>0.61639999999999995</v>
      </c>
      <c r="D74">
        <v>-0.25600000000000001</v>
      </c>
    </row>
    <row r="75" spans="1:4" x14ac:dyDescent="0.3">
      <c r="A75">
        <v>2.0013364479986753</v>
      </c>
      <c r="B75">
        <v>1.5708</v>
      </c>
      <c r="C75">
        <v>0.62539999999999996</v>
      </c>
      <c r="D75">
        <v>-0.24940000000000001</v>
      </c>
    </row>
    <row r="76" spans="1:4" x14ac:dyDescent="0.3">
      <c r="A76">
        <v>2.0287520157794794</v>
      </c>
      <c r="B76">
        <v>1.5708</v>
      </c>
      <c r="C76">
        <v>0.63400000000000001</v>
      </c>
      <c r="D76">
        <v>-0.24299999999999999</v>
      </c>
    </row>
    <row r="77" spans="1:4" x14ac:dyDescent="0.3">
      <c r="A77">
        <v>2.0561675835602831</v>
      </c>
      <c r="B77">
        <v>1.5708</v>
      </c>
      <c r="C77">
        <v>0.64239999999999997</v>
      </c>
      <c r="D77">
        <v>-0.2366</v>
      </c>
    </row>
    <row r="78" spans="1:4" x14ac:dyDescent="0.3">
      <c r="A78">
        <v>2.0835831513410863</v>
      </c>
      <c r="B78">
        <v>1.5708</v>
      </c>
      <c r="C78">
        <v>0.65059999999999996</v>
      </c>
      <c r="D78">
        <v>-0.2303</v>
      </c>
    </row>
    <row r="79" spans="1:4" x14ac:dyDescent="0.3">
      <c r="A79">
        <v>2.1109987191218904</v>
      </c>
      <c r="B79">
        <v>1.5708</v>
      </c>
      <c r="C79">
        <v>0.65839999999999999</v>
      </c>
      <c r="D79">
        <v>-0.224</v>
      </c>
    </row>
    <row r="80" spans="1:4" x14ac:dyDescent="0.3">
      <c r="A80">
        <v>2.1384142869026941</v>
      </c>
      <c r="B80">
        <v>1.5708</v>
      </c>
      <c r="C80">
        <v>0.66600000000000004</v>
      </c>
      <c r="D80">
        <v>-0.21779999999999999</v>
      </c>
    </row>
    <row r="81" spans="1:4" x14ac:dyDescent="0.3">
      <c r="A81">
        <v>2.1658298546834982</v>
      </c>
      <c r="B81">
        <v>1.5708</v>
      </c>
      <c r="C81">
        <v>0.67330000000000001</v>
      </c>
      <c r="D81">
        <v>-0.2117</v>
      </c>
    </row>
    <row r="82" spans="1:4" x14ac:dyDescent="0.3">
      <c r="A82">
        <v>2.1932454224643014</v>
      </c>
      <c r="B82">
        <v>1.5708</v>
      </c>
      <c r="C82">
        <v>0.68030000000000002</v>
      </c>
      <c r="D82">
        <v>-0.20569999999999999</v>
      </c>
    </row>
    <row r="83" spans="1:4" x14ac:dyDescent="0.3">
      <c r="A83">
        <v>2.2206609902451055</v>
      </c>
      <c r="B83">
        <v>1.5708</v>
      </c>
      <c r="C83">
        <v>0.68710000000000004</v>
      </c>
      <c r="D83">
        <v>-0.19969999999999999</v>
      </c>
    </row>
    <row r="84" spans="1:4" x14ac:dyDescent="0.3">
      <c r="A84">
        <v>2.2480765580259092</v>
      </c>
      <c r="B84">
        <v>1.5708</v>
      </c>
      <c r="C84">
        <v>0.69359999999999999</v>
      </c>
      <c r="D84">
        <v>-0.1938</v>
      </c>
    </row>
    <row r="85" spans="1:4" x14ac:dyDescent="0.3">
      <c r="A85">
        <v>2.2754921258067133</v>
      </c>
      <c r="B85">
        <v>1.5708</v>
      </c>
      <c r="C85">
        <v>0.7</v>
      </c>
      <c r="D85">
        <v>-0.188</v>
      </c>
    </row>
    <row r="86" spans="1:4" x14ac:dyDescent="0.3">
      <c r="A86">
        <v>2.302907693587517</v>
      </c>
      <c r="B86">
        <v>1.5708</v>
      </c>
      <c r="C86">
        <v>0.70599999999999996</v>
      </c>
      <c r="D86">
        <v>-0.1822</v>
      </c>
    </row>
    <row r="87" spans="1:4" x14ac:dyDescent="0.3">
      <c r="A87">
        <v>2.3303232613683207</v>
      </c>
      <c r="B87">
        <v>1.5708</v>
      </c>
      <c r="C87">
        <v>0.71179999999999999</v>
      </c>
      <c r="D87">
        <v>-0.17649999999999999</v>
      </c>
    </row>
    <row r="88" spans="1:4" x14ac:dyDescent="0.3">
      <c r="A88">
        <v>2.3577388291491244</v>
      </c>
      <c r="B88">
        <v>1.5708</v>
      </c>
      <c r="C88">
        <v>0.71730000000000005</v>
      </c>
      <c r="D88">
        <v>-0.1709</v>
      </c>
    </row>
    <row r="89" spans="1:4" x14ac:dyDescent="0.3">
      <c r="A89">
        <v>2.385154396929928</v>
      </c>
      <c r="B89">
        <v>1.5708</v>
      </c>
      <c r="C89">
        <v>0.72270000000000001</v>
      </c>
      <c r="D89">
        <v>-0.1653</v>
      </c>
    </row>
    <row r="90" spans="1:4" x14ac:dyDescent="0.3">
      <c r="A90">
        <v>2.4125699647107317</v>
      </c>
      <c r="B90">
        <v>1.5708</v>
      </c>
      <c r="C90">
        <v>0.7278</v>
      </c>
      <c r="D90">
        <v>-0.15970000000000001</v>
      </c>
    </row>
    <row r="91" spans="1:4" x14ac:dyDescent="0.3">
      <c r="A91">
        <v>2.4399855324915358</v>
      </c>
      <c r="B91">
        <v>1.5708</v>
      </c>
      <c r="C91">
        <v>0.73260000000000003</v>
      </c>
      <c r="D91">
        <v>-0.1542</v>
      </c>
    </row>
    <row r="92" spans="1:4" x14ac:dyDescent="0.3">
      <c r="A92">
        <v>2.4674011002723395</v>
      </c>
      <c r="B92">
        <v>1.5708</v>
      </c>
      <c r="C92">
        <v>0.73729999999999996</v>
      </c>
      <c r="D92">
        <v>-0.1487</v>
      </c>
    </row>
    <row r="93" spans="1:4" x14ac:dyDescent="0.3">
      <c r="A93">
        <v>2.4948166680531432</v>
      </c>
      <c r="B93">
        <v>1.5708</v>
      </c>
      <c r="C93">
        <v>0.74170000000000003</v>
      </c>
      <c r="D93">
        <v>-0.14330000000000001</v>
      </c>
    </row>
    <row r="94" spans="1:4" x14ac:dyDescent="0.3">
      <c r="A94">
        <v>2.5222322358339468</v>
      </c>
      <c r="B94">
        <v>1.5708</v>
      </c>
      <c r="C94">
        <v>0.74590000000000001</v>
      </c>
      <c r="D94">
        <v>-0.13789999999999999</v>
      </c>
    </row>
    <row r="95" spans="1:4" x14ac:dyDescent="0.3">
      <c r="A95">
        <v>2.5496478036147505</v>
      </c>
      <c r="B95">
        <v>1.5708</v>
      </c>
      <c r="C95">
        <v>0.74980000000000002</v>
      </c>
      <c r="D95">
        <v>-0.1326</v>
      </c>
    </row>
    <row r="96" spans="1:4" x14ac:dyDescent="0.3">
      <c r="A96">
        <v>2.5770633713955551</v>
      </c>
      <c r="B96">
        <v>1.5708</v>
      </c>
      <c r="C96">
        <v>0.75360000000000005</v>
      </c>
      <c r="D96">
        <v>-0.12720000000000001</v>
      </c>
    </row>
    <row r="97" spans="1:4" x14ac:dyDescent="0.3">
      <c r="A97">
        <v>2.6044789391763583</v>
      </c>
      <c r="B97">
        <v>1.5708</v>
      </c>
      <c r="C97">
        <v>0.75719999999999998</v>
      </c>
      <c r="D97">
        <v>-0.122</v>
      </c>
    </row>
    <row r="98" spans="1:4" x14ac:dyDescent="0.3">
      <c r="A98">
        <v>2.631894506957162</v>
      </c>
      <c r="B98">
        <v>1.5708</v>
      </c>
      <c r="C98">
        <v>0.76049999999999995</v>
      </c>
      <c r="D98">
        <v>-0.1167</v>
      </c>
    </row>
    <row r="99" spans="1:4" x14ac:dyDescent="0.3">
      <c r="A99">
        <v>2.6593100747379657</v>
      </c>
      <c r="B99">
        <v>1.5708</v>
      </c>
      <c r="C99">
        <v>0.76370000000000005</v>
      </c>
      <c r="D99">
        <v>-0.1115</v>
      </c>
    </row>
    <row r="100" spans="1:4" x14ac:dyDescent="0.3">
      <c r="A100">
        <v>2.6867256425187693</v>
      </c>
      <c r="B100">
        <v>1.5708</v>
      </c>
      <c r="C100">
        <v>0.76659999999999995</v>
      </c>
      <c r="D100">
        <v>-0.10630000000000001</v>
      </c>
    </row>
    <row r="101" spans="1:4" x14ac:dyDescent="0.3">
      <c r="A101">
        <v>2.7141412102995734</v>
      </c>
      <c r="B101">
        <v>1.5708</v>
      </c>
      <c r="C101">
        <v>0.76929999999999998</v>
      </c>
      <c r="D101">
        <v>-0.1011</v>
      </c>
    </row>
    <row r="102" spans="1:4" x14ac:dyDescent="0.3">
      <c r="A102">
        <v>2.7415567780803771</v>
      </c>
      <c r="B102">
        <v>1.5708</v>
      </c>
      <c r="C102">
        <v>0.77180000000000004</v>
      </c>
      <c r="D102">
        <v>-9.5899999999999999E-2</v>
      </c>
    </row>
    <row r="103" spans="1:4" x14ac:dyDescent="0.3">
      <c r="A103">
        <v>2.7689723458611808</v>
      </c>
      <c r="B103">
        <v>1.5708</v>
      </c>
      <c r="C103">
        <v>0.7742</v>
      </c>
      <c r="D103">
        <v>-9.0800000000000006E-2</v>
      </c>
    </row>
    <row r="104" spans="1:4" x14ac:dyDescent="0.3">
      <c r="A104">
        <v>2.7963879136419845</v>
      </c>
      <c r="B104">
        <v>1.5708</v>
      </c>
      <c r="C104">
        <v>0.77629999999999999</v>
      </c>
      <c r="D104">
        <v>-8.5699999999999998E-2</v>
      </c>
    </row>
    <row r="105" spans="1:4" x14ac:dyDescent="0.3">
      <c r="A105">
        <v>2.8238034814227886</v>
      </c>
      <c r="B105">
        <v>1.5708</v>
      </c>
      <c r="C105">
        <v>0.7782</v>
      </c>
      <c r="D105">
        <v>-8.0500000000000002E-2</v>
      </c>
    </row>
    <row r="106" spans="1:4" x14ac:dyDescent="0.3">
      <c r="A106">
        <v>2.8512190492035927</v>
      </c>
      <c r="B106">
        <v>1.5708</v>
      </c>
      <c r="C106">
        <v>0.77990000000000004</v>
      </c>
      <c r="D106">
        <v>-7.5399999999999995E-2</v>
      </c>
    </row>
    <row r="107" spans="1:4" x14ac:dyDescent="0.3">
      <c r="A107">
        <v>2.8786346169843959</v>
      </c>
      <c r="B107">
        <v>1.5708</v>
      </c>
      <c r="C107">
        <v>0.78139999999999998</v>
      </c>
      <c r="D107">
        <v>-7.0300000000000001E-2</v>
      </c>
    </row>
    <row r="108" spans="1:4" x14ac:dyDescent="0.3">
      <c r="A108">
        <v>2.9060501847652001</v>
      </c>
      <c r="B108">
        <v>1.5708</v>
      </c>
      <c r="C108">
        <v>0.78280000000000005</v>
      </c>
      <c r="D108">
        <v>-6.5199999999999994E-2</v>
      </c>
    </row>
    <row r="109" spans="1:4" x14ac:dyDescent="0.3">
      <c r="A109">
        <v>2.9334657525460033</v>
      </c>
      <c r="B109">
        <v>1.5708</v>
      </c>
      <c r="C109">
        <v>0.78390000000000004</v>
      </c>
      <c r="D109">
        <v>-6.0100000000000001E-2</v>
      </c>
    </row>
    <row r="110" spans="1:4" x14ac:dyDescent="0.3">
      <c r="A110">
        <v>2.9608813203268074</v>
      </c>
      <c r="B110">
        <v>1.5708</v>
      </c>
      <c r="C110">
        <v>0.78490000000000004</v>
      </c>
      <c r="D110">
        <v>-5.5100000000000003E-2</v>
      </c>
    </row>
    <row r="111" spans="1:4" x14ac:dyDescent="0.3">
      <c r="A111">
        <v>2.9882968881076111</v>
      </c>
      <c r="B111">
        <v>1.5708</v>
      </c>
      <c r="C111">
        <v>0.78559999999999997</v>
      </c>
      <c r="D111">
        <v>-0.05</v>
      </c>
    </row>
    <row r="112" spans="1:4" x14ac:dyDescent="0.3">
      <c r="A112">
        <v>3.0157124558884152</v>
      </c>
      <c r="B112">
        <v>1.5708</v>
      </c>
      <c r="C112">
        <v>0.78620000000000001</v>
      </c>
      <c r="D112">
        <v>-4.4900000000000002E-2</v>
      </c>
    </row>
    <row r="113" spans="1:4" x14ac:dyDescent="0.3">
      <c r="A113">
        <v>3.0431280236692189</v>
      </c>
      <c r="B113">
        <v>1.5708</v>
      </c>
      <c r="C113">
        <v>0.78659999999999997</v>
      </c>
      <c r="D113">
        <v>-3.9800000000000002E-2</v>
      </c>
    </row>
    <row r="114" spans="1:4" x14ac:dyDescent="0.3">
      <c r="A114">
        <v>3.0705435914500225</v>
      </c>
      <c r="B114">
        <v>1.5708</v>
      </c>
      <c r="C114">
        <v>0.78680000000000005</v>
      </c>
      <c r="D114">
        <v>-3.4700000000000002E-2</v>
      </c>
    </row>
    <row r="115" spans="1:4" x14ac:dyDescent="0.3">
      <c r="A115">
        <v>3.0979591592308262</v>
      </c>
      <c r="B115">
        <v>1.5708</v>
      </c>
      <c r="C115">
        <v>0.78680000000000005</v>
      </c>
      <c r="D115">
        <v>-2.9600000000000001E-2</v>
      </c>
    </row>
    <row r="116" spans="1:4" x14ac:dyDescent="0.3">
      <c r="A116">
        <v>3.1253747270116294</v>
      </c>
      <c r="B116">
        <v>1.5708</v>
      </c>
      <c r="C116">
        <v>0.78659999999999997</v>
      </c>
      <c r="D116">
        <v>-2.4500000000000001E-2</v>
      </c>
    </row>
    <row r="117" spans="1:4" x14ac:dyDescent="0.3">
      <c r="A117">
        <v>3.152790294792434</v>
      </c>
      <c r="B117">
        <v>1.5708</v>
      </c>
      <c r="C117">
        <v>0.7863</v>
      </c>
      <c r="D117">
        <v>-1.9300000000000001E-2</v>
      </c>
    </row>
    <row r="118" spans="1:4" x14ac:dyDescent="0.3">
      <c r="A118">
        <v>3.1802058625732377</v>
      </c>
      <c r="B118">
        <v>1.5708</v>
      </c>
      <c r="C118">
        <v>0.78569999999999995</v>
      </c>
      <c r="D118">
        <v>-1.4200000000000001E-2</v>
      </c>
    </row>
    <row r="119" spans="1:4" x14ac:dyDescent="0.3">
      <c r="A119">
        <v>3.2076214303540413</v>
      </c>
      <c r="B119">
        <v>1.5708</v>
      </c>
      <c r="C119">
        <v>0.78500000000000003</v>
      </c>
      <c r="D119">
        <v>-8.9999999999999993E-3</v>
      </c>
    </row>
    <row r="120" spans="1:4" x14ac:dyDescent="0.3">
      <c r="A120">
        <v>3.2350369981348446</v>
      </c>
      <c r="B120">
        <v>1.5708</v>
      </c>
      <c r="C120">
        <v>0.78410000000000002</v>
      </c>
      <c r="D120">
        <v>-3.8E-3</v>
      </c>
    </row>
    <row r="121" spans="1:4" x14ac:dyDescent="0.3">
      <c r="A121">
        <v>3.2624525659156487</v>
      </c>
      <c r="B121">
        <v>1.5708</v>
      </c>
      <c r="C121">
        <v>0.78290000000000004</v>
      </c>
      <c r="D121">
        <v>1.4E-3</v>
      </c>
    </row>
    <row r="122" spans="1:4" x14ac:dyDescent="0.3">
      <c r="A122">
        <v>3.2898681336964524</v>
      </c>
      <c r="B122">
        <v>1.5708</v>
      </c>
      <c r="C122">
        <v>0.78159999999999996</v>
      </c>
      <c r="D122">
        <v>6.6E-3</v>
      </c>
    </row>
    <row r="123" spans="1:4" x14ac:dyDescent="0.3">
      <c r="A123">
        <v>3.3172837014772565</v>
      </c>
      <c r="B123">
        <v>1.5708</v>
      </c>
      <c r="C123">
        <v>0.7802</v>
      </c>
      <c r="D123">
        <v>1.1900000000000001E-2</v>
      </c>
    </row>
    <row r="124" spans="1:4" x14ac:dyDescent="0.3">
      <c r="A124">
        <v>3.3446992692580606</v>
      </c>
      <c r="B124">
        <v>1.5708</v>
      </c>
      <c r="C124">
        <v>0.77859999999999996</v>
      </c>
      <c r="D124">
        <v>1.72E-2</v>
      </c>
    </row>
    <row r="125" spans="1:4" x14ac:dyDescent="0.3">
      <c r="A125">
        <v>3.3721148370388638</v>
      </c>
      <c r="B125">
        <v>1.5708</v>
      </c>
      <c r="C125">
        <v>0.77669999999999995</v>
      </c>
      <c r="D125">
        <v>2.2499999999999999E-2</v>
      </c>
    </row>
    <row r="126" spans="1:4" x14ac:dyDescent="0.3">
      <c r="A126">
        <v>3.3995304048196675</v>
      </c>
      <c r="B126">
        <v>1.5708</v>
      </c>
      <c r="C126">
        <v>0.77470000000000006</v>
      </c>
      <c r="D126">
        <v>2.7799999999999998E-2</v>
      </c>
    </row>
    <row r="127" spans="1:4" x14ac:dyDescent="0.3">
      <c r="A127">
        <v>3.4269459726004712</v>
      </c>
      <c r="B127">
        <v>1.5708</v>
      </c>
      <c r="C127">
        <v>0.77249999999999996</v>
      </c>
      <c r="D127">
        <v>3.32E-2</v>
      </c>
    </row>
    <row r="128" spans="1:4" x14ac:dyDescent="0.3">
      <c r="A128">
        <v>3.4543615403812757</v>
      </c>
      <c r="B128">
        <v>1.5708</v>
      </c>
      <c r="C128">
        <v>0.77010000000000001</v>
      </c>
      <c r="D128">
        <v>3.8600000000000002E-2</v>
      </c>
    </row>
    <row r="129" spans="1:4" x14ac:dyDescent="0.3">
      <c r="A129">
        <v>3.481777108162079</v>
      </c>
      <c r="B129">
        <v>1.5708</v>
      </c>
      <c r="C129">
        <v>0.76749999999999996</v>
      </c>
      <c r="D129">
        <v>4.41E-2</v>
      </c>
    </row>
    <row r="130" spans="1:4" x14ac:dyDescent="0.3">
      <c r="A130">
        <v>3.5091926759428826</v>
      </c>
      <c r="B130">
        <v>1.5708</v>
      </c>
      <c r="C130">
        <v>0.76480000000000004</v>
      </c>
      <c r="D130">
        <v>4.9500000000000002E-2</v>
      </c>
    </row>
    <row r="131" spans="1:4" x14ac:dyDescent="0.3">
      <c r="A131">
        <v>3.5366082437236868</v>
      </c>
      <c r="B131">
        <v>1.5708</v>
      </c>
      <c r="C131">
        <v>0.76180000000000003</v>
      </c>
      <c r="D131">
        <v>5.5100000000000003E-2</v>
      </c>
    </row>
    <row r="132" spans="1:4" x14ac:dyDescent="0.3">
      <c r="A132">
        <v>3.56402381150449</v>
      </c>
      <c r="B132">
        <v>1.5708</v>
      </c>
      <c r="C132">
        <v>0.75870000000000004</v>
      </c>
      <c r="D132">
        <v>6.0600000000000001E-2</v>
      </c>
    </row>
    <row r="133" spans="1:4" x14ac:dyDescent="0.3">
      <c r="A133">
        <v>3.5914393792852941</v>
      </c>
      <c r="B133">
        <v>1.5708</v>
      </c>
      <c r="C133">
        <v>0.75539999999999996</v>
      </c>
      <c r="D133">
        <v>6.6199999999999995E-2</v>
      </c>
    </row>
    <row r="134" spans="1:4" x14ac:dyDescent="0.3">
      <c r="A134">
        <v>3.6188549470660978</v>
      </c>
      <c r="B134">
        <v>1.5708</v>
      </c>
      <c r="C134">
        <v>0.75190000000000001</v>
      </c>
      <c r="D134">
        <v>7.1900000000000006E-2</v>
      </c>
    </row>
    <row r="135" spans="1:4" x14ac:dyDescent="0.3">
      <c r="A135">
        <v>3.6462705148469019</v>
      </c>
      <c r="B135">
        <v>1.5708</v>
      </c>
      <c r="C135">
        <v>0.74819999999999998</v>
      </c>
      <c r="D135">
        <v>7.7600000000000002E-2</v>
      </c>
    </row>
    <row r="136" spans="1:4" x14ac:dyDescent="0.3">
      <c r="A136">
        <v>3.6736860826277051</v>
      </c>
      <c r="B136">
        <v>1.5708</v>
      </c>
      <c r="C136">
        <v>0.74429999999999996</v>
      </c>
      <c r="D136">
        <v>8.3299999999999999E-2</v>
      </c>
    </row>
    <row r="137" spans="1:4" x14ac:dyDescent="0.3">
      <c r="A137">
        <v>3.7011016504085092</v>
      </c>
      <c r="B137">
        <v>1.5708</v>
      </c>
      <c r="C137">
        <v>0.74029999999999996</v>
      </c>
      <c r="D137">
        <v>8.9099999999999999E-2</v>
      </c>
    </row>
    <row r="138" spans="1:4" x14ac:dyDescent="0.3">
      <c r="A138">
        <v>3.7285172181893129</v>
      </c>
      <c r="B138">
        <v>1.5708</v>
      </c>
      <c r="C138">
        <v>0.73609999999999998</v>
      </c>
      <c r="D138">
        <v>9.4899999999999998E-2</v>
      </c>
    </row>
    <row r="139" spans="1:4" x14ac:dyDescent="0.3">
      <c r="A139">
        <v>3.755932785970117</v>
      </c>
      <c r="B139">
        <v>1.5708</v>
      </c>
      <c r="C139">
        <v>0.73170000000000002</v>
      </c>
      <c r="D139">
        <v>0.1008</v>
      </c>
    </row>
    <row r="140" spans="1:4" x14ac:dyDescent="0.3">
      <c r="A140">
        <v>3.7833483537509203</v>
      </c>
      <c r="B140">
        <v>1.5708</v>
      </c>
      <c r="C140">
        <v>0.72709999999999997</v>
      </c>
      <c r="D140">
        <v>0.1067</v>
      </c>
    </row>
    <row r="141" spans="1:4" x14ac:dyDescent="0.3">
      <c r="A141">
        <v>3.8107639215317244</v>
      </c>
      <c r="B141">
        <v>1.5708</v>
      </c>
      <c r="C141">
        <v>0.72230000000000005</v>
      </c>
      <c r="D141">
        <v>0.11269999999999999</v>
      </c>
    </row>
    <row r="142" spans="1:4" x14ac:dyDescent="0.3">
      <c r="A142">
        <v>3.8381794893125281</v>
      </c>
      <c r="B142">
        <v>1.5708</v>
      </c>
      <c r="C142">
        <v>0.71740000000000004</v>
      </c>
      <c r="D142">
        <v>0.1187</v>
      </c>
    </row>
    <row r="143" spans="1:4" x14ac:dyDescent="0.3">
      <c r="A143">
        <v>3.8655950570933317</v>
      </c>
      <c r="B143">
        <v>1.5708</v>
      </c>
      <c r="C143">
        <v>0.71230000000000004</v>
      </c>
      <c r="D143">
        <v>0.12479999999999999</v>
      </c>
    </row>
    <row r="144" spans="1:4" x14ac:dyDescent="0.3">
      <c r="A144">
        <v>3.8930106248741354</v>
      </c>
      <c r="B144">
        <v>1.5708</v>
      </c>
      <c r="C144">
        <v>0.70699999999999996</v>
      </c>
      <c r="D144">
        <v>0.13089999999999999</v>
      </c>
    </row>
    <row r="145" spans="1:4" x14ac:dyDescent="0.3">
      <c r="A145">
        <v>3.9204261926549395</v>
      </c>
      <c r="B145">
        <v>1.5708</v>
      </c>
      <c r="C145">
        <v>0.70150000000000001</v>
      </c>
      <c r="D145">
        <v>0.1371</v>
      </c>
    </row>
    <row r="146" spans="1:4" x14ac:dyDescent="0.3">
      <c r="A146">
        <v>3.9478417604357432</v>
      </c>
      <c r="B146">
        <v>1.5708</v>
      </c>
      <c r="C146">
        <v>0.69579999999999997</v>
      </c>
      <c r="D146">
        <v>0.14330000000000001</v>
      </c>
    </row>
    <row r="147" spans="1:4" x14ac:dyDescent="0.3">
      <c r="A147">
        <v>3.9752573282165469</v>
      </c>
      <c r="B147">
        <v>1.5708</v>
      </c>
      <c r="C147">
        <v>0.69</v>
      </c>
      <c r="D147">
        <v>0.14960000000000001</v>
      </c>
    </row>
    <row r="148" spans="1:4" x14ac:dyDescent="0.3">
      <c r="A148">
        <v>4.0026728959973505</v>
      </c>
      <c r="B148">
        <v>1.5708</v>
      </c>
      <c r="C148">
        <v>0.68400000000000005</v>
      </c>
      <c r="D148">
        <v>0.156</v>
      </c>
    </row>
    <row r="149" spans="1:4" x14ac:dyDescent="0.3">
      <c r="A149">
        <v>4.0300884637781547</v>
      </c>
      <c r="B149">
        <v>1.5708</v>
      </c>
      <c r="C149">
        <v>0.67769999999999997</v>
      </c>
      <c r="D149">
        <v>0.16239999999999999</v>
      </c>
    </row>
    <row r="150" spans="1:4" x14ac:dyDescent="0.3">
      <c r="A150">
        <v>4.0575040315589588</v>
      </c>
      <c r="B150">
        <v>1.5708</v>
      </c>
      <c r="C150">
        <v>0.6714</v>
      </c>
      <c r="D150">
        <v>0.16880000000000001</v>
      </c>
    </row>
    <row r="151" spans="1:4" x14ac:dyDescent="0.3">
      <c r="A151">
        <v>4.084919599339762</v>
      </c>
      <c r="B151">
        <v>1.5708</v>
      </c>
      <c r="C151">
        <v>0.66479999999999995</v>
      </c>
      <c r="D151">
        <v>0.17530000000000001</v>
      </c>
    </row>
    <row r="152" spans="1:4" x14ac:dyDescent="0.3">
      <c r="A152">
        <v>4.1123351671205661</v>
      </c>
      <c r="B152">
        <v>1.5708</v>
      </c>
      <c r="C152">
        <v>0.65810000000000002</v>
      </c>
      <c r="D152">
        <v>0.18190000000000001</v>
      </c>
    </row>
    <row r="153" spans="1:4" x14ac:dyDescent="0.3">
      <c r="A153">
        <v>4.1397507349013694</v>
      </c>
      <c r="B153">
        <v>1.5708</v>
      </c>
      <c r="C153">
        <v>0.6512</v>
      </c>
      <c r="D153">
        <v>0.18840000000000001</v>
      </c>
    </row>
    <row r="154" spans="1:4" x14ac:dyDescent="0.3">
      <c r="A154">
        <v>4.1671663026821726</v>
      </c>
      <c r="B154">
        <v>1.5708</v>
      </c>
      <c r="C154">
        <v>0.64419999999999999</v>
      </c>
      <c r="D154">
        <v>0.1951</v>
      </c>
    </row>
    <row r="155" spans="1:4" x14ac:dyDescent="0.3">
      <c r="A155">
        <v>4.1945818704629776</v>
      </c>
      <c r="B155">
        <v>1.5708</v>
      </c>
      <c r="C155">
        <v>0.63700000000000001</v>
      </c>
      <c r="D155">
        <v>0.20180000000000001</v>
      </c>
    </row>
    <row r="156" spans="1:4" x14ac:dyDescent="0.3">
      <c r="A156">
        <v>4.2219974382437808</v>
      </c>
      <c r="B156">
        <v>1.5708</v>
      </c>
      <c r="C156">
        <v>0.62960000000000005</v>
      </c>
      <c r="D156">
        <v>0.20849999999999999</v>
      </c>
    </row>
    <row r="157" spans="1:4" x14ac:dyDescent="0.3">
      <c r="A157">
        <v>4.2494130060245849</v>
      </c>
      <c r="B157">
        <v>1.5708</v>
      </c>
      <c r="C157">
        <v>0.62209999999999999</v>
      </c>
      <c r="D157">
        <v>0.21529999999999999</v>
      </c>
    </row>
    <row r="158" spans="1:4" x14ac:dyDescent="0.3">
      <c r="A158">
        <v>4.2768285738053882</v>
      </c>
      <c r="B158">
        <v>1.5708</v>
      </c>
      <c r="C158">
        <v>0.61439999999999995</v>
      </c>
      <c r="D158">
        <v>0.22209999999999999</v>
      </c>
    </row>
    <row r="159" spans="1:4" x14ac:dyDescent="0.3">
      <c r="A159">
        <v>4.3042441415861923</v>
      </c>
      <c r="B159">
        <v>1.5708</v>
      </c>
      <c r="C159">
        <v>0.60660000000000003</v>
      </c>
      <c r="D159">
        <v>0.22900000000000001</v>
      </c>
    </row>
    <row r="160" spans="1:4" x14ac:dyDescent="0.3">
      <c r="A160">
        <v>4.3316597093669964</v>
      </c>
      <c r="B160">
        <v>1.5708</v>
      </c>
      <c r="C160">
        <v>0.59860000000000002</v>
      </c>
      <c r="D160">
        <v>0.2359</v>
      </c>
    </row>
    <row r="161" spans="1:4" x14ac:dyDescent="0.3">
      <c r="A161">
        <v>4.3590752771477996</v>
      </c>
      <c r="B161">
        <v>1.5708</v>
      </c>
      <c r="C161">
        <v>0.59040000000000004</v>
      </c>
      <c r="D161">
        <v>0.24279999999999999</v>
      </c>
    </row>
    <row r="162" spans="1:4" x14ac:dyDescent="0.3">
      <c r="A162">
        <v>4.3864908449286029</v>
      </c>
      <c r="B162">
        <v>1.5708</v>
      </c>
      <c r="C162">
        <v>0.58209999999999995</v>
      </c>
      <c r="D162">
        <v>0.24979999999999999</v>
      </c>
    </row>
    <row r="163" spans="1:4" x14ac:dyDescent="0.3">
      <c r="A163">
        <v>4.413906412709407</v>
      </c>
      <c r="B163">
        <v>1.5708</v>
      </c>
      <c r="C163">
        <v>0.57369999999999999</v>
      </c>
      <c r="D163">
        <v>0.25679999999999997</v>
      </c>
    </row>
    <row r="164" spans="1:4" x14ac:dyDescent="0.3">
      <c r="A164">
        <v>4.4413219804902111</v>
      </c>
      <c r="B164">
        <v>1.5708</v>
      </c>
      <c r="C164">
        <v>0.56510000000000005</v>
      </c>
      <c r="D164">
        <v>0.26379999999999998</v>
      </c>
    </row>
    <row r="165" spans="1:4" x14ac:dyDescent="0.3">
      <c r="A165">
        <v>4.4687375482710143</v>
      </c>
      <c r="B165">
        <v>1.5708</v>
      </c>
      <c r="C165">
        <v>0.55640000000000001</v>
      </c>
      <c r="D165">
        <v>0.27089999999999997</v>
      </c>
    </row>
    <row r="166" spans="1:4" x14ac:dyDescent="0.3">
      <c r="A166">
        <v>4.4961531160518184</v>
      </c>
      <c r="B166">
        <v>1.5708</v>
      </c>
      <c r="C166">
        <v>0.54759999999999998</v>
      </c>
      <c r="D166">
        <v>0.27800000000000002</v>
      </c>
    </row>
    <row r="167" spans="1:4" x14ac:dyDescent="0.3">
      <c r="A167">
        <v>4.5235686838326217</v>
      </c>
      <c r="B167">
        <v>1.5708</v>
      </c>
      <c r="C167">
        <v>0.53859999999999997</v>
      </c>
      <c r="D167">
        <v>0.28510000000000002</v>
      </c>
    </row>
    <row r="168" spans="1:4" x14ac:dyDescent="0.3">
      <c r="A168">
        <v>4.5509842516134267</v>
      </c>
      <c r="B168">
        <v>1.5708</v>
      </c>
      <c r="C168">
        <v>0.52949999999999997</v>
      </c>
      <c r="D168">
        <v>0.2923</v>
      </c>
    </row>
    <row r="169" spans="1:4" x14ac:dyDescent="0.3">
      <c r="A169">
        <v>4.5783998193942299</v>
      </c>
      <c r="B169">
        <v>1.5708</v>
      </c>
      <c r="C169">
        <v>0.52029999999999998</v>
      </c>
      <c r="D169">
        <v>0.2994</v>
      </c>
    </row>
    <row r="170" spans="1:4" x14ac:dyDescent="0.3">
      <c r="A170">
        <v>4.605815387175034</v>
      </c>
      <c r="B170">
        <v>1.5708</v>
      </c>
      <c r="C170">
        <v>0.51090000000000002</v>
      </c>
      <c r="D170">
        <v>0.30659999999999998</v>
      </c>
    </row>
    <row r="171" spans="1:4" x14ac:dyDescent="0.3">
      <c r="A171">
        <v>4.6332309549558373</v>
      </c>
      <c r="B171">
        <v>1.5708</v>
      </c>
      <c r="C171">
        <v>0.50149999999999995</v>
      </c>
      <c r="D171">
        <v>0.31369999999999998</v>
      </c>
    </row>
    <row r="172" spans="1:4" x14ac:dyDescent="0.3">
      <c r="A172">
        <v>4.6606465227366414</v>
      </c>
      <c r="B172">
        <v>1.5708</v>
      </c>
      <c r="C172">
        <v>0.4919</v>
      </c>
      <c r="D172">
        <v>0.32090000000000002</v>
      </c>
    </row>
    <row r="173" spans="1:4" x14ac:dyDescent="0.3">
      <c r="A173">
        <v>4.6880620905174446</v>
      </c>
      <c r="B173">
        <v>1.5708</v>
      </c>
      <c r="C173">
        <v>0.48230000000000001</v>
      </c>
      <c r="D173">
        <v>0.3281</v>
      </c>
    </row>
    <row r="174" spans="1:4" x14ac:dyDescent="0.3">
      <c r="A174">
        <v>4.7154776582982487</v>
      </c>
      <c r="B174">
        <v>1.5708</v>
      </c>
      <c r="C174">
        <v>0.47249999999999998</v>
      </c>
      <c r="D174">
        <v>0.33529999999999999</v>
      </c>
    </row>
    <row r="175" spans="1:4" x14ac:dyDescent="0.3">
      <c r="A175">
        <v>4.7428932260790528</v>
      </c>
      <c r="B175">
        <v>1.5708</v>
      </c>
      <c r="C175">
        <v>0.4627</v>
      </c>
      <c r="D175">
        <v>0.34239999999999998</v>
      </c>
    </row>
    <row r="176" spans="1:4" x14ac:dyDescent="0.3">
      <c r="A176">
        <v>4.7703087938598561</v>
      </c>
      <c r="B176">
        <v>1.5708</v>
      </c>
      <c r="C176">
        <v>0.45279999999999998</v>
      </c>
      <c r="D176">
        <v>0.34960000000000002</v>
      </c>
    </row>
    <row r="177" spans="1:4" x14ac:dyDescent="0.3">
      <c r="A177">
        <v>4.7977243616406602</v>
      </c>
      <c r="B177">
        <v>1.5708</v>
      </c>
      <c r="C177">
        <v>0.44280000000000003</v>
      </c>
      <c r="D177">
        <v>0.35670000000000002</v>
      </c>
    </row>
    <row r="178" spans="1:4" x14ac:dyDescent="0.3">
      <c r="A178">
        <v>4.8251399294214634</v>
      </c>
      <c r="B178">
        <v>1.5708</v>
      </c>
      <c r="C178">
        <v>0.43269999999999997</v>
      </c>
      <c r="D178">
        <v>0.36380000000000001</v>
      </c>
    </row>
    <row r="179" spans="1:4" x14ac:dyDescent="0.3">
      <c r="A179">
        <v>4.8525554972022684</v>
      </c>
      <c r="B179">
        <v>1.5708</v>
      </c>
      <c r="C179">
        <v>0.42259999999999998</v>
      </c>
      <c r="D179">
        <v>0.37090000000000001</v>
      </c>
    </row>
    <row r="180" spans="1:4" x14ac:dyDescent="0.3">
      <c r="A180">
        <v>4.8799710649830716</v>
      </c>
      <c r="B180">
        <v>1.5708</v>
      </c>
      <c r="C180">
        <v>0.41239999999999999</v>
      </c>
      <c r="D180">
        <v>0.378</v>
      </c>
    </row>
    <row r="181" spans="1:4" x14ac:dyDescent="0.3">
      <c r="A181">
        <v>4.9073866327638758</v>
      </c>
      <c r="B181">
        <v>1.5708</v>
      </c>
      <c r="C181">
        <v>0.4022</v>
      </c>
      <c r="D181">
        <v>0.38500000000000001</v>
      </c>
    </row>
    <row r="182" spans="1:4" x14ac:dyDescent="0.3">
      <c r="A182">
        <v>4.934802200544679</v>
      </c>
      <c r="B182">
        <v>1.5708</v>
      </c>
      <c r="C182">
        <v>0.39190000000000003</v>
      </c>
      <c r="D182">
        <v>0.39200000000000002</v>
      </c>
    </row>
    <row r="183" spans="1:4" x14ac:dyDescent="0.3">
      <c r="A183">
        <v>4.9622177683254831</v>
      </c>
      <c r="B183">
        <v>1.5708</v>
      </c>
      <c r="C183">
        <v>0.38159999999999999</v>
      </c>
      <c r="D183">
        <v>0.39889999999999998</v>
      </c>
    </row>
    <row r="184" spans="1:4" x14ac:dyDescent="0.3">
      <c r="A184">
        <v>4.9896333361062863</v>
      </c>
      <c r="B184">
        <v>1.5708</v>
      </c>
      <c r="C184">
        <v>0.37119999999999997</v>
      </c>
      <c r="D184">
        <v>0.40579999999999999</v>
      </c>
    </row>
    <row r="185" spans="1:4" x14ac:dyDescent="0.3">
      <c r="A185">
        <v>5.0170489038870905</v>
      </c>
      <c r="B185">
        <v>1.5708</v>
      </c>
      <c r="C185">
        <v>0.36080000000000001</v>
      </c>
      <c r="D185">
        <v>0.41260000000000002</v>
      </c>
    </row>
    <row r="186" spans="1:4" x14ac:dyDescent="0.3">
      <c r="A186">
        <v>5.0444644716678937</v>
      </c>
      <c r="B186">
        <v>1.5708</v>
      </c>
      <c r="C186">
        <v>0.3503</v>
      </c>
      <c r="D186">
        <v>0.4194</v>
      </c>
    </row>
    <row r="187" spans="1:4" x14ac:dyDescent="0.3">
      <c r="A187">
        <v>5.0718800394486969</v>
      </c>
      <c r="B187">
        <v>1.5708</v>
      </c>
      <c r="C187">
        <v>0.33989999999999998</v>
      </c>
      <c r="D187">
        <v>0.42609999999999998</v>
      </c>
    </row>
    <row r="188" spans="1:4" x14ac:dyDescent="0.3">
      <c r="A188">
        <v>5.099295607229501</v>
      </c>
      <c r="B188">
        <v>1.5708</v>
      </c>
      <c r="C188">
        <v>0.32940000000000003</v>
      </c>
      <c r="D188">
        <v>0.43269999999999997</v>
      </c>
    </row>
    <row r="189" spans="1:4" x14ac:dyDescent="0.3">
      <c r="A189">
        <v>5.126711175010306</v>
      </c>
      <c r="B189">
        <v>1.5708</v>
      </c>
      <c r="C189">
        <v>0.31890000000000002</v>
      </c>
      <c r="D189">
        <v>0.43930000000000002</v>
      </c>
    </row>
    <row r="190" spans="1:4" x14ac:dyDescent="0.3">
      <c r="A190">
        <v>5.1541267427911102</v>
      </c>
      <c r="B190">
        <v>1.5708</v>
      </c>
      <c r="C190">
        <v>0.30840000000000001</v>
      </c>
      <c r="D190">
        <v>0.44579999999999997</v>
      </c>
    </row>
    <row r="191" spans="1:4" x14ac:dyDescent="0.3">
      <c r="A191">
        <v>5.1815423105719134</v>
      </c>
      <c r="B191">
        <v>1.5708</v>
      </c>
      <c r="C191">
        <v>0.2979</v>
      </c>
      <c r="D191">
        <v>0.45219999999999999</v>
      </c>
    </row>
    <row r="192" spans="1:4" x14ac:dyDescent="0.3">
      <c r="A192">
        <v>5.2089578783527166</v>
      </c>
      <c r="B192">
        <v>1.5708</v>
      </c>
      <c r="C192">
        <v>0.2873</v>
      </c>
      <c r="D192">
        <v>0.45850000000000002</v>
      </c>
    </row>
    <row r="193" spans="1:4" x14ac:dyDescent="0.3">
      <c r="A193">
        <v>5.2363734461335207</v>
      </c>
      <c r="B193">
        <v>1.5708</v>
      </c>
      <c r="C193">
        <v>0.27689999999999998</v>
      </c>
      <c r="D193">
        <v>0.4647</v>
      </c>
    </row>
    <row r="194" spans="1:4" x14ac:dyDescent="0.3">
      <c r="A194">
        <v>5.263789013914324</v>
      </c>
      <c r="B194">
        <v>1.5708</v>
      </c>
      <c r="C194">
        <v>0.26640000000000003</v>
      </c>
      <c r="D194">
        <v>0.4708</v>
      </c>
    </row>
    <row r="195" spans="1:4" x14ac:dyDescent="0.3">
      <c r="A195">
        <v>5.2912045816951272</v>
      </c>
      <c r="B195">
        <v>1.5708</v>
      </c>
      <c r="C195">
        <v>0.25590000000000002</v>
      </c>
      <c r="D195">
        <v>0.47689999999999999</v>
      </c>
    </row>
    <row r="196" spans="1:4" x14ac:dyDescent="0.3">
      <c r="A196">
        <v>5.3186201494759313</v>
      </c>
      <c r="B196">
        <v>1.5708</v>
      </c>
      <c r="C196">
        <v>0.24540000000000001</v>
      </c>
      <c r="D196">
        <v>0.48280000000000001</v>
      </c>
    </row>
    <row r="197" spans="1:4" x14ac:dyDescent="0.3">
      <c r="A197">
        <v>5.3460357172567354</v>
      </c>
      <c r="B197">
        <v>1.5708</v>
      </c>
      <c r="C197">
        <v>0.23499999999999999</v>
      </c>
      <c r="D197">
        <v>0.48859999999999998</v>
      </c>
    </row>
    <row r="198" spans="1:4" x14ac:dyDescent="0.3">
      <c r="A198">
        <v>5.3734512850375387</v>
      </c>
      <c r="B198">
        <v>1.5708</v>
      </c>
      <c r="C198">
        <v>0.22459999999999999</v>
      </c>
      <c r="D198">
        <v>0.49430000000000002</v>
      </c>
    </row>
    <row r="199" spans="1:4" x14ac:dyDescent="0.3">
      <c r="A199">
        <v>5.4008668528183428</v>
      </c>
      <c r="B199">
        <v>1.5708</v>
      </c>
      <c r="C199">
        <v>0.21429999999999999</v>
      </c>
      <c r="D199">
        <v>0.49990000000000001</v>
      </c>
    </row>
    <row r="200" spans="1:4" x14ac:dyDescent="0.3">
      <c r="A200">
        <v>5.4282824205991469</v>
      </c>
      <c r="B200">
        <v>1.5708</v>
      </c>
      <c r="C200">
        <v>0.20399999999999999</v>
      </c>
      <c r="D200">
        <v>0.50539999999999996</v>
      </c>
    </row>
    <row r="201" spans="1:4" x14ac:dyDescent="0.3">
      <c r="A201">
        <v>5.455697988379951</v>
      </c>
      <c r="B201">
        <v>1.5708</v>
      </c>
      <c r="C201">
        <v>0.19370000000000001</v>
      </c>
      <c r="D201">
        <v>0.51070000000000004</v>
      </c>
    </row>
    <row r="202" spans="1:4" x14ac:dyDescent="0.3">
      <c r="A202">
        <v>5.4831135561607542</v>
      </c>
      <c r="B202">
        <v>1.5708</v>
      </c>
      <c r="C202">
        <v>0.1835</v>
      </c>
      <c r="D202">
        <v>0.51590000000000003</v>
      </c>
    </row>
    <row r="203" spans="1:4" x14ac:dyDescent="0.3">
      <c r="A203">
        <v>5.5105291239415584</v>
      </c>
      <c r="B203">
        <v>1.5708</v>
      </c>
      <c r="C203">
        <v>0.17330000000000001</v>
      </c>
      <c r="D203">
        <v>0.52100000000000002</v>
      </c>
    </row>
    <row r="204" spans="1:4" x14ac:dyDescent="0.3">
      <c r="A204">
        <v>5.5379446917223616</v>
      </c>
      <c r="B204">
        <v>1.5708</v>
      </c>
      <c r="C204">
        <v>0.16309999999999999</v>
      </c>
      <c r="D204">
        <v>0.52600000000000002</v>
      </c>
    </row>
    <row r="205" spans="1:4" x14ac:dyDescent="0.3">
      <c r="A205">
        <v>5.5653602595031657</v>
      </c>
      <c r="B205">
        <v>1.5708</v>
      </c>
      <c r="C205">
        <v>0.153</v>
      </c>
      <c r="D205">
        <v>0.53080000000000005</v>
      </c>
    </row>
    <row r="206" spans="1:4" x14ac:dyDescent="0.3">
      <c r="A206">
        <v>5.5927758272839689</v>
      </c>
      <c r="B206">
        <v>1.5708</v>
      </c>
      <c r="C206">
        <v>0.14299999999999999</v>
      </c>
      <c r="D206">
        <v>0.53549999999999998</v>
      </c>
    </row>
    <row r="207" spans="1:4" x14ac:dyDescent="0.3">
      <c r="A207">
        <v>5.6201913950647731</v>
      </c>
      <c r="B207">
        <v>1.5708</v>
      </c>
      <c r="C207">
        <v>0.13300000000000001</v>
      </c>
      <c r="D207">
        <v>0.54010000000000002</v>
      </c>
    </row>
    <row r="208" spans="1:4" x14ac:dyDescent="0.3">
      <c r="A208">
        <v>5.6476069628455772</v>
      </c>
      <c r="B208">
        <v>1.5708</v>
      </c>
      <c r="C208">
        <v>0.1231</v>
      </c>
      <c r="D208">
        <v>0.54449999999999998</v>
      </c>
    </row>
    <row r="209" spans="1:4" x14ac:dyDescent="0.3">
      <c r="A209">
        <v>5.6750225306263804</v>
      </c>
      <c r="B209">
        <v>1.5708</v>
      </c>
      <c r="C209">
        <v>0.1132</v>
      </c>
      <c r="D209">
        <v>0.54869999999999997</v>
      </c>
    </row>
    <row r="210" spans="1:4" x14ac:dyDescent="0.3">
      <c r="A210">
        <v>5.7024380984071854</v>
      </c>
      <c r="B210">
        <v>1.5708</v>
      </c>
      <c r="C210">
        <v>0.10340000000000001</v>
      </c>
      <c r="D210">
        <v>0.55279999999999996</v>
      </c>
    </row>
    <row r="211" spans="1:4" x14ac:dyDescent="0.3">
      <c r="A211">
        <v>5.7298536661879877</v>
      </c>
      <c r="B211">
        <v>1.5708</v>
      </c>
      <c r="C211">
        <v>9.3600000000000003E-2</v>
      </c>
      <c r="D211">
        <v>0.55679999999999996</v>
      </c>
    </row>
    <row r="212" spans="1:4" x14ac:dyDescent="0.3">
      <c r="A212">
        <v>5.7572692339687919</v>
      </c>
      <c r="B212">
        <v>1.5708</v>
      </c>
      <c r="C212">
        <v>8.4000000000000005E-2</v>
      </c>
      <c r="D212">
        <v>0.56059999999999999</v>
      </c>
    </row>
    <row r="213" spans="1:4" x14ac:dyDescent="0.3">
      <c r="A213">
        <v>5.784684801749596</v>
      </c>
      <c r="B213">
        <v>1.5708</v>
      </c>
      <c r="C213">
        <v>7.4300000000000005E-2</v>
      </c>
      <c r="D213">
        <v>0.56420000000000003</v>
      </c>
    </row>
    <row r="214" spans="1:4" x14ac:dyDescent="0.3">
      <c r="A214">
        <v>5.8121003695304001</v>
      </c>
      <c r="B214">
        <v>1.5708</v>
      </c>
      <c r="C214">
        <v>6.4799999999999996E-2</v>
      </c>
      <c r="D214">
        <v>0.56769999999999998</v>
      </c>
    </row>
    <row r="215" spans="1:4" x14ac:dyDescent="0.3">
      <c r="A215">
        <v>5.8395159373112042</v>
      </c>
      <c r="B215">
        <v>1.5708</v>
      </c>
      <c r="C215">
        <v>5.5300000000000002E-2</v>
      </c>
      <c r="D215">
        <v>0.57099999999999995</v>
      </c>
    </row>
    <row r="216" spans="1:4" x14ac:dyDescent="0.3">
      <c r="A216">
        <v>5.8669315050920066</v>
      </c>
      <c r="B216">
        <v>1.5708</v>
      </c>
      <c r="C216">
        <v>4.5900000000000003E-2</v>
      </c>
      <c r="D216">
        <v>0.57420000000000004</v>
      </c>
    </row>
    <row r="217" spans="1:4" x14ac:dyDescent="0.3">
      <c r="A217">
        <v>5.8943470728728107</v>
      </c>
      <c r="B217">
        <v>1.5708</v>
      </c>
      <c r="C217">
        <v>3.6499999999999998E-2</v>
      </c>
      <c r="D217">
        <v>0.57720000000000005</v>
      </c>
    </row>
    <row r="218" spans="1:4" x14ac:dyDescent="0.3">
      <c r="A218">
        <v>5.9217626406536148</v>
      </c>
      <c r="B218">
        <v>1.5708</v>
      </c>
      <c r="C218">
        <v>2.7199999999999998E-2</v>
      </c>
      <c r="D218">
        <v>0.57999999999999996</v>
      </c>
    </row>
    <row r="219" spans="1:4" x14ac:dyDescent="0.3">
      <c r="A219">
        <v>5.949178208434418</v>
      </c>
      <c r="B219">
        <v>1.5708</v>
      </c>
      <c r="C219">
        <v>1.7999999999999999E-2</v>
      </c>
      <c r="D219">
        <v>0.5827</v>
      </c>
    </row>
    <row r="220" spans="1:4" x14ac:dyDescent="0.3">
      <c r="A220">
        <v>5.9765937762152221</v>
      </c>
      <c r="B220">
        <v>1.5708</v>
      </c>
      <c r="C220">
        <v>8.8000000000000005E-3</v>
      </c>
      <c r="D220">
        <v>0.58520000000000005</v>
      </c>
    </row>
    <row r="221" spans="1:4" x14ac:dyDescent="0.3">
      <c r="A221">
        <v>6.0040093439960263</v>
      </c>
      <c r="B221">
        <v>1.5708</v>
      </c>
      <c r="C221">
        <v>-2.9999999999999997E-4</v>
      </c>
      <c r="D221">
        <v>0.58750000000000002</v>
      </c>
    </row>
    <row r="222" spans="1:4" x14ac:dyDescent="0.3">
      <c r="A222">
        <v>6.0314249117768304</v>
      </c>
      <c r="B222">
        <v>1.5708</v>
      </c>
      <c r="C222">
        <v>-9.2999999999999992E-3</v>
      </c>
      <c r="D222">
        <v>0.5897</v>
      </c>
    </row>
    <row r="223" spans="1:4" x14ac:dyDescent="0.3">
      <c r="A223">
        <v>6.0588404795576345</v>
      </c>
      <c r="B223">
        <v>1.5708</v>
      </c>
      <c r="C223">
        <v>-1.83E-2</v>
      </c>
      <c r="D223">
        <v>0.5917</v>
      </c>
    </row>
    <row r="224" spans="1:4" x14ac:dyDescent="0.3">
      <c r="A224">
        <v>6.0862560473384377</v>
      </c>
      <c r="B224">
        <v>1.5708</v>
      </c>
      <c r="C224">
        <v>-2.7199999999999998E-2</v>
      </c>
      <c r="D224">
        <v>0.59350000000000003</v>
      </c>
    </row>
    <row r="225" spans="1:4" x14ac:dyDescent="0.3">
      <c r="A225">
        <v>6.113671615119241</v>
      </c>
      <c r="B225">
        <v>1.5708</v>
      </c>
      <c r="C225">
        <v>-3.61E-2</v>
      </c>
      <c r="D225">
        <v>0.59509999999999996</v>
      </c>
    </row>
    <row r="226" spans="1:4" x14ac:dyDescent="0.3">
      <c r="A226">
        <v>6.1410871829000451</v>
      </c>
      <c r="B226">
        <v>1.5708</v>
      </c>
      <c r="C226">
        <v>-4.4900000000000002E-2</v>
      </c>
      <c r="D226">
        <v>0.59660000000000002</v>
      </c>
    </row>
    <row r="227" spans="1:4" x14ac:dyDescent="0.3">
      <c r="A227">
        <v>6.1685027506808483</v>
      </c>
      <c r="B227">
        <v>1.5708</v>
      </c>
      <c r="C227">
        <v>-5.3600000000000002E-2</v>
      </c>
      <c r="D227">
        <v>0.59789999999999999</v>
      </c>
    </row>
    <row r="228" spans="1:4" x14ac:dyDescent="0.3">
      <c r="A228">
        <v>6.1959183184616524</v>
      </c>
      <c r="B228">
        <v>1.5708</v>
      </c>
      <c r="C228">
        <v>-6.2300000000000001E-2</v>
      </c>
      <c r="D228">
        <v>0.59909999999999997</v>
      </c>
    </row>
    <row r="229" spans="1:4" x14ac:dyDescent="0.3">
      <c r="A229">
        <v>6.2233338862424565</v>
      </c>
      <c r="B229">
        <v>1.5708</v>
      </c>
      <c r="C229">
        <v>-7.0999999999999994E-2</v>
      </c>
      <c r="D229">
        <v>0.6</v>
      </c>
    </row>
    <row r="230" spans="1:4" x14ac:dyDescent="0.3">
      <c r="A230">
        <v>6.2507494540232589</v>
      </c>
      <c r="B230">
        <v>1.5708</v>
      </c>
      <c r="C230">
        <v>-7.9500000000000001E-2</v>
      </c>
      <c r="D230">
        <v>0.6008</v>
      </c>
    </row>
    <row r="231" spans="1:4" x14ac:dyDescent="0.3">
      <c r="A231">
        <v>6.278165021804063</v>
      </c>
      <c r="B231">
        <v>1.5708</v>
      </c>
      <c r="C231">
        <v>-8.8099999999999998E-2</v>
      </c>
      <c r="D231">
        <v>0.60129999999999995</v>
      </c>
    </row>
    <row r="232" spans="1:4" x14ac:dyDescent="0.3">
      <c r="A232">
        <v>6.305580589584868</v>
      </c>
      <c r="B232">
        <v>1.5708</v>
      </c>
      <c r="C232">
        <v>-9.6500000000000002E-2</v>
      </c>
      <c r="D232">
        <v>0.60170000000000001</v>
      </c>
    </row>
    <row r="233" spans="1:4" x14ac:dyDescent="0.3">
      <c r="A233">
        <v>6.3329961573656721</v>
      </c>
      <c r="B233">
        <v>1.5708</v>
      </c>
      <c r="C233">
        <v>-0.105</v>
      </c>
      <c r="D233">
        <v>0.60199999999999998</v>
      </c>
    </row>
    <row r="234" spans="1:4" x14ac:dyDescent="0.3">
      <c r="A234">
        <v>6.3604117251464753</v>
      </c>
      <c r="B234">
        <v>1.5708</v>
      </c>
      <c r="C234">
        <v>-0.1134</v>
      </c>
      <c r="D234">
        <v>0.60209999999999997</v>
      </c>
    </row>
    <row r="235" spans="1:4" x14ac:dyDescent="0.3">
      <c r="A235">
        <v>6.3878272929272786</v>
      </c>
      <c r="B235">
        <v>1.5708</v>
      </c>
      <c r="C235">
        <v>-0.1217</v>
      </c>
      <c r="D235">
        <v>0.60199999999999998</v>
      </c>
    </row>
    <row r="236" spans="1:4" x14ac:dyDescent="0.3">
      <c r="A236">
        <v>6.4152428607080827</v>
      </c>
      <c r="B236">
        <v>1.5708</v>
      </c>
      <c r="C236">
        <v>-0.13</v>
      </c>
      <c r="D236">
        <v>0.60160000000000002</v>
      </c>
    </row>
    <row r="237" spans="1:4" x14ac:dyDescent="0.3">
      <c r="A237">
        <v>6.4426584284888868</v>
      </c>
      <c r="B237">
        <v>1.5708</v>
      </c>
      <c r="C237">
        <v>-0.13830000000000001</v>
      </c>
      <c r="D237">
        <v>0.60109999999999997</v>
      </c>
    </row>
    <row r="238" spans="1:4" x14ac:dyDescent="0.3">
      <c r="A238">
        <v>6.4700739962696892</v>
      </c>
      <c r="B238">
        <v>1.5708</v>
      </c>
      <c r="C238">
        <v>-0.14660000000000001</v>
      </c>
      <c r="D238">
        <v>0.60050000000000003</v>
      </c>
    </row>
    <row r="239" spans="1:4" x14ac:dyDescent="0.3">
      <c r="A239">
        <v>6.4974895640504933</v>
      </c>
      <c r="B239">
        <v>1.5708</v>
      </c>
      <c r="C239">
        <v>-0.15479999999999999</v>
      </c>
      <c r="D239">
        <v>0.59960000000000002</v>
      </c>
    </row>
    <row r="240" spans="1:4" x14ac:dyDescent="0.3">
      <c r="A240">
        <v>6.5249051318312974</v>
      </c>
      <c r="B240">
        <v>1.5708</v>
      </c>
      <c r="C240">
        <v>-0.16300000000000001</v>
      </c>
      <c r="D240">
        <v>0.59860000000000002</v>
      </c>
    </row>
    <row r="241" spans="1:4" x14ac:dyDescent="0.3">
      <c r="A241">
        <v>6.5523206996121015</v>
      </c>
      <c r="B241">
        <v>1.5708</v>
      </c>
      <c r="C241">
        <v>-0.1711</v>
      </c>
      <c r="D241">
        <v>0.59740000000000004</v>
      </c>
    </row>
    <row r="242" spans="1:4" x14ac:dyDescent="0.3">
      <c r="A242">
        <v>6.5797362673929047</v>
      </c>
      <c r="B242">
        <v>1.5708</v>
      </c>
      <c r="C242">
        <v>-0.17929999999999999</v>
      </c>
      <c r="D242">
        <v>0.59589999999999999</v>
      </c>
    </row>
    <row r="243" spans="1:4" x14ac:dyDescent="0.3">
      <c r="A243">
        <v>6.6071518351737089</v>
      </c>
      <c r="B243">
        <v>1.5708</v>
      </c>
      <c r="C243">
        <v>-0.18740000000000001</v>
      </c>
      <c r="D243">
        <v>0.59430000000000005</v>
      </c>
    </row>
    <row r="244" spans="1:4" x14ac:dyDescent="0.3">
      <c r="A244">
        <v>6.634567402954513</v>
      </c>
      <c r="B244">
        <v>1.5708</v>
      </c>
      <c r="C244">
        <v>-0.19550000000000001</v>
      </c>
      <c r="D244">
        <v>0.59260000000000002</v>
      </c>
    </row>
    <row r="245" spans="1:4" x14ac:dyDescent="0.3">
      <c r="A245">
        <v>6.6619829707353171</v>
      </c>
      <c r="B245">
        <v>1.5708</v>
      </c>
      <c r="C245">
        <v>-0.20349999999999999</v>
      </c>
      <c r="D245">
        <v>0.59060000000000001</v>
      </c>
    </row>
    <row r="246" spans="1:4" x14ac:dyDescent="0.3">
      <c r="A246">
        <v>6.6893985385161212</v>
      </c>
      <c r="B246">
        <v>1.5708</v>
      </c>
      <c r="C246">
        <v>-0.21160000000000001</v>
      </c>
      <c r="D246">
        <v>0.58840000000000003</v>
      </c>
    </row>
    <row r="247" spans="1:4" x14ac:dyDescent="0.3">
      <c r="A247">
        <v>6.7168141062969235</v>
      </c>
      <c r="B247">
        <v>1.5708</v>
      </c>
      <c r="C247">
        <v>-0.21959999999999999</v>
      </c>
      <c r="D247">
        <v>0.58609999999999995</v>
      </c>
    </row>
    <row r="248" spans="1:4" x14ac:dyDescent="0.3">
      <c r="A248">
        <v>6.7442296740777277</v>
      </c>
      <c r="B248">
        <v>1.5708</v>
      </c>
      <c r="C248">
        <v>-0.22770000000000001</v>
      </c>
      <c r="D248">
        <v>0.58350000000000002</v>
      </c>
    </row>
    <row r="249" spans="1:4" x14ac:dyDescent="0.3">
      <c r="A249">
        <v>6.7716452418585318</v>
      </c>
      <c r="B249">
        <v>1.5708</v>
      </c>
      <c r="C249">
        <v>-0.23569999999999999</v>
      </c>
      <c r="D249">
        <v>0.58079999999999998</v>
      </c>
    </row>
    <row r="250" spans="1:4" x14ac:dyDescent="0.3">
      <c r="A250">
        <v>6.799060809639335</v>
      </c>
      <c r="B250">
        <v>1.5708</v>
      </c>
      <c r="C250">
        <v>-0.2437</v>
      </c>
      <c r="D250">
        <v>0.57789999999999997</v>
      </c>
    </row>
    <row r="251" spans="1:4" x14ac:dyDescent="0.3">
      <c r="A251">
        <v>6.8264763774201391</v>
      </c>
      <c r="B251">
        <v>1.5708</v>
      </c>
      <c r="C251">
        <v>-0.25169999999999998</v>
      </c>
      <c r="D251">
        <v>0.57469999999999999</v>
      </c>
    </row>
    <row r="252" spans="1:4" x14ac:dyDescent="0.3">
      <c r="A252">
        <v>6.8538919452009424</v>
      </c>
      <c r="B252">
        <v>1.5708</v>
      </c>
      <c r="C252">
        <v>-0.25979999999999998</v>
      </c>
      <c r="D252">
        <v>0.57140000000000002</v>
      </c>
    </row>
    <row r="253" spans="1:4" x14ac:dyDescent="0.3">
      <c r="A253">
        <v>6.8813075129817474</v>
      </c>
      <c r="B253">
        <v>1.5708</v>
      </c>
      <c r="C253">
        <v>-0.26779999999999998</v>
      </c>
      <c r="D253">
        <v>0.56789999999999996</v>
      </c>
    </row>
    <row r="254" spans="1:4" x14ac:dyDescent="0.3">
      <c r="A254">
        <v>6.9087230807625515</v>
      </c>
      <c r="B254">
        <v>1.5708</v>
      </c>
      <c r="C254">
        <v>-0.27579999999999999</v>
      </c>
      <c r="D254">
        <v>0.56420000000000003</v>
      </c>
    </row>
    <row r="255" spans="1:4" x14ac:dyDescent="0.3">
      <c r="A255">
        <v>6.9361386485433547</v>
      </c>
      <c r="B255">
        <v>1.5708</v>
      </c>
      <c r="C255">
        <v>-0.2838</v>
      </c>
      <c r="D255">
        <v>0.56030000000000002</v>
      </c>
    </row>
    <row r="256" spans="1:4" x14ac:dyDescent="0.3">
      <c r="A256">
        <v>6.9635542163241579</v>
      </c>
      <c r="B256">
        <v>1.5708</v>
      </c>
      <c r="C256">
        <v>-0.29189999999999999</v>
      </c>
      <c r="D256">
        <v>0.55610000000000004</v>
      </c>
    </row>
    <row r="257" spans="1:4" x14ac:dyDescent="0.3">
      <c r="A257">
        <v>6.9909697841049621</v>
      </c>
      <c r="B257">
        <v>1.5708</v>
      </c>
      <c r="C257">
        <v>-0.3</v>
      </c>
      <c r="D257">
        <v>0.55179999999999996</v>
      </c>
    </row>
    <row r="258" spans="1:4" x14ac:dyDescent="0.3">
      <c r="A258">
        <v>7.0183853518857653</v>
      </c>
      <c r="B258">
        <v>1.5708</v>
      </c>
      <c r="C258">
        <v>-0.30809999999999998</v>
      </c>
      <c r="D258">
        <v>0.54730000000000001</v>
      </c>
    </row>
    <row r="259" spans="1:4" x14ac:dyDescent="0.3">
      <c r="A259">
        <v>7.0458009196665694</v>
      </c>
      <c r="B259">
        <v>1.5708</v>
      </c>
      <c r="C259">
        <v>-0.31619999999999998</v>
      </c>
      <c r="D259">
        <v>0.54259999999999997</v>
      </c>
    </row>
    <row r="260" spans="1:4" x14ac:dyDescent="0.3">
      <c r="A260">
        <v>7.0732164874473735</v>
      </c>
      <c r="B260">
        <v>1.5708</v>
      </c>
      <c r="C260">
        <v>-0.32429999999999998</v>
      </c>
      <c r="D260">
        <v>0.53759999999999997</v>
      </c>
    </row>
    <row r="261" spans="1:4" x14ac:dyDescent="0.3">
      <c r="A261">
        <v>7.1006320552281759</v>
      </c>
      <c r="B261">
        <v>1.5708</v>
      </c>
      <c r="C261">
        <v>-0.33250000000000002</v>
      </c>
      <c r="D261">
        <v>0.53239999999999998</v>
      </c>
    </row>
    <row r="262" spans="1:4" x14ac:dyDescent="0.3">
      <c r="A262">
        <v>7.12804762300898</v>
      </c>
      <c r="B262">
        <v>1.5708</v>
      </c>
      <c r="C262">
        <v>-0.3407</v>
      </c>
      <c r="D262">
        <v>0.52710000000000001</v>
      </c>
    </row>
    <row r="263" spans="1:4" x14ac:dyDescent="0.3">
      <c r="A263">
        <v>7.1554631907897841</v>
      </c>
      <c r="B263">
        <v>1.5708</v>
      </c>
      <c r="C263">
        <v>-0.34889999999999999</v>
      </c>
      <c r="D263">
        <v>0.52149999999999996</v>
      </c>
    </row>
    <row r="264" spans="1:4" x14ac:dyDescent="0.3">
      <c r="A264">
        <v>7.1828787585705882</v>
      </c>
      <c r="B264">
        <v>1.5708</v>
      </c>
      <c r="C264">
        <v>-0.35720000000000002</v>
      </c>
      <c r="D264">
        <v>0.51570000000000005</v>
      </c>
    </row>
    <row r="265" spans="1:4" x14ac:dyDescent="0.3">
      <c r="A265">
        <v>7.2102943263513923</v>
      </c>
      <c r="B265">
        <v>1.5708</v>
      </c>
      <c r="C265">
        <v>-0.36549999999999999</v>
      </c>
      <c r="D265">
        <v>0.50970000000000004</v>
      </c>
    </row>
    <row r="266" spans="1:4" x14ac:dyDescent="0.3">
      <c r="A266">
        <v>7.2377098941321956</v>
      </c>
      <c r="B266">
        <v>1.5708</v>
      </c>
      <c r="C266">
        <v>-0.37380000000000002</v>
      </c>
      <c r="D266">
        <v>0.50349999999999995</v>
      </c>
    </row>
    <row r="267" spans="1:4" x14ac:dyDescent="0.3">
      <c r="A267">
        <v>7.2651254619129997</v>
      </c>
      <c r="B267">
        <v>1.5708</v>
      </c>
      <c r="C267">
        <v>-0.38219999999999998</v>
      </c>
      <c r="D267">
        <v>0.497</v>
      </c>
    </row>
    <row r="268" spans="1:4" x14ac:dyDescent="0.3">
      <c r="A268">
        <v>7.2925410296938038</v>
      </c>
      <c r="B268">
        <v>1.5708</v>
      </c>
      <c r="C268">
        <v>-0.39050000000000001</v>
      </c>
      <c r="D268">
        <v>0.49030000000000001</v>
      </c>
    </row>
    <row r="269" spans="1:4" x14ac:dyDescent="0.3">
      <c r="A269">
        <v>7.3199565974746061</v>
      </c>
      <c r="B269">
        <v>1.5708</v>
      </c>
      <c r="C269">
        <v>-0.39900000000000002</v>
      </c>
      <c r="D269">
        <v>0.4834</v>
      </c>
    </row>
    <row r="270" spans="1:4" x14ac:dyDescent="0.3">
      <c r="A270">
        <v>7.3473721652554103</v>
      </c>
      <c r="B270">
        <v>1.5708</v>
      </c>
      <c r="C270">
        <v>-0.40749999999999997</v>
      </c>
      <c r="D270">
        <v>0.4763</v>
      </c>
    </row>
    <row r="271" spans="1:4" x14ac:dyDescent="0.3">
      <c r="A271">
        <v>7.3747877330362144</v>
      </c>
      <c r="B271">
        <v>1.5708</v>
      </c>
      <c r="C271">
        <v>-0.41599999999999998</v>
      </c>
      <c r="D271">
        <v>0.46899999999999997</v>
      </c>
    </row>
    <row r="272" spans="1:4" x14ac:dyDescent="0.3">
      <c r="A272">
        <v>7.4022033008170185</v>
      </c>
      <c r="B272">
        <v>1.5708</v>
      </c>
      <c r="C272">
        <v>-0.42459999999999998</v>
      </c>
      <c r="D272">
        <v>0.46139999999999998</v>
      </c>
    </row>
    <row r="273" spans="1:4" x14ac:dyDescent="0.3">
      <c r="A273">
        <v>7.4296188685978226</v>
      </c>
      <c r="B273">
        <v>1.5708</v>
      </c>
      <c r="C273">
        <v>-0.43330000000000002</v>
      </c>
      <c r="D273">
        <v>0.4536</v>
      </c>
    </row>
    <row r="274" spans="1:4" x14ac:dyDescent="0.3">
      <c r="A274">
        <v>7.4570344363786258</v>
      </c>
      <c r="B274">
        <v>1.5708</v>
      </c>
      <c r="C274">
        <v>-0.44190000000000002</v>
      </c>
      <c r="D274">
        <v>0.44550000000000001</v>
      </c>
    </row>
    <row r="275" spans="1:4" x14ac:dyDescent="0.3">
      <c r="A275">
        <v>7.48445000415943</v>
      </c>
      <c r="B275">
        <v>1.5708</v>
      </c>
      <c r="C275">
        <v>-0.45069999999999999</v>
      </c>
      <c r="D275">
        <v>0.43719999999999998</v>
      </c>
    </row>
    <row r="276" spans="1:4" x14ac:dyDescent="0.3">
      <c r="A276">
        <v>7.5118655719402341</v>
      </c>
      <c r="B276">
        <v>1.5708</v>
      </c>
      <c r="C276">
        <v>-0.45950000000000002</v>
      </c>
      <c r="D276">
        <v>0.42870000000000003</v>
      </c>
    </row>
    <row r="277" spans="1:4" x14ac:dyDescent="0.3">
      <c r="A277">
        <v>7.5392811397210382</v>
      </c>
      <c r="B277">
        <v>1.5708</v>
      </c>
      <c r="C277">
        <v>-0.46839999999999998</v>
      </c>
      <c r="D277">
        <v>0.42</v>
      </c>
    </row>
    <row r="278" spans="1:4" x14ac:dyDescent="0.3">
      <c r="A278">
        <v>7.5666967075018405</v>
      </c>
      <c r="B278">
        <v>1.5708</v>
      </c>
      <c r="C278">
        <v>-0.4773</v>
      </c>
      <c r="D278">
        <v>0.41099999999999998</v>
      </c>
    </row>
    <row r="279" spans="1:4" x14ac:dyDescent="0.3">
      <c r="A279">
        <v>7.5941122752826447</v>
      </c>
      <c r="B279">
        <v>1.5708</v>
      </c>
      <c r="C279">
        <v>-0.48630000000000001</v>
      </c>
      <c r="D279">
        <v>0.4017</v>
      </c>
    </row>
    <row r="280" spans="1:4" x14ac:dyDescent="0.3">
      <c r="A280">
        <v>7.6215278430634488</v>
      </c>
      <c r="B280">
        <v>1.5708</v>
      </c>
      <c r="C280">
        <v>-0.49530000000000002</v>
      </c>
      <c r="D280">
        <v>0.39219999999999999</v>
      </c>
    </row>
    <row r="281" spans="1:4" x14ac:dyDescent="0.3">
      <c r="A281">
        <v>7.6489434108442529</v>
      </c>
      <c r="B281">
        <v>1.5708</v>
      </c>
      <c r="C281">
        <v>-0.50439999999999996</v>
      </c>
      <c r="D281">
        <v>0.38240000000000002</v>
      </c>
    </row>
    <row r="282" spans="1:4" x14ac:dyDescent="0.3">
      <c r="A282">
        <v>7.6763589786250561</v>
      </c>
      <c r="B282">
        <v>1.5708</v>
      </c>
      <c r="C282">
        <v>-0.51359999999999995</v>
      </c>
      <c r="D282">
        <v>0.37240000000000001</v>
      </c>
    </row>
    <row r="283" spans="1:4" x14ac:dyDescent="0.3">
      <c r="A283">
        <v>7.7037745464058593</v>
      </c>
      <c r="B283">
        <v>1.5708</v>
      </c>
      <c r="C283">
        <v>-0.52290000000000003</v>
      </c>
      <c r="D283">
        <v>0.36220000000000002</v>
      </c>
    </row>
    <row r="284" spans="1:4" x14ac:dyDescent="0.3">
      <c r="A284">
        <v>7.7311901141866635</v>
      </c>
      <c r="B284">
        <v>1.5708</v>
      </c>
      <c r="C284">
        <v>-0.53220000000000001</v>
      </c>
      <c r="D284">
        <v>0.35160000000000002</v>
      </c>
    </row>
    <row r="285" spans="1:4" x14ac:dyDescent="0.3">
      <c r="A285">
        <v>7.7586056819674685</v>
      </c>
      <c r="B285">
        <v>1.5708</v>
      </c>
      <c r="C285">
        <v>-0.54149999999999998</v>
      </c>
      <c r="D285">
        <v>0.34079999999999999</v>
      </c>
    </row>
    <row r="286" spans="1:4" x14ac:dyDescent="0.3">
      <c r="A286">
        <v>7.7860212497482708</v>
      </c>
      <c r="B286">
        <v>1.5708</v>
      </c>
      <c r="C286">
        <v>-0.55100000000000005</v>
      </c>
      <c r="D286">
        <v>0.32979999999999998</v>
      </c>
    </row>
    <row r="287" spans="1:4" x14ac:dyDescent="0.3">
      <c r="A287">
        <v>7.8134368175290749</v>
      </c>
      <c r="B287">
        <v>1.5708</v>
      </c>
      <c r="C287">
        <v>-0.5605</v>
      </c>
      <c r="D287">
        <v>0.31850000000000001</v>
      </c>
    </row>
    <row r="288" spans="1:4" x14ac:dyDescent="0.3">
      <c r="A288">
        <v>7.840852385309879</v>
      </c>
      <c r="B288">
        <v>1.5708</v>
      </c>
      <c r="C288">
        <v>-0.57010000000000005</v>
      </c>
      <c r="D288">
        <v>0.30690000000000001</v>
      </c>
    </row>
    <row r="289" spans="1:4" x14ac:dyDescent="0.3">
      <c r="A289">
        <v>7.8682679530906832</v>
      </c>
      <c r="B289">
        <v>1.5708</v>
      </c>
      <c r="C289">
        <v>-0.57969999999999999</v>
      </c>
      <c r="D289">
        <v>0.29509999999999997</v>
      </c>
    </row>
    <row r="290" spans="1:4" x14ac:dyDescent="0.3">
      <c r="A290">
        <v>7.8956835208714864</v>
      </c>
      <c r="B290">
        <v>1.5708</v>
      </c>
      <c r="C290">
        <v>-0.58930000000000005</v>
      </c>
      <c r="D290">
        <v>0.28310000000000002</v>
      </c>
    </row>
    <row r="291" spans="1:4" x14ac:dyDescent="0.3">
      <c r="A291">
        <v>7.9230990886522896</v>
      </c>
      <c r="B291">
        <v>1.5708</v>
      </c>
      <c r="C291">
        <v>-0.59909999999999997</v>
      </c>
      <c r="D291">
        <v>0.2707</v>
      </c>
    </row>
    <row r="292" spans="1:4" x14ac:dyDescent="0.3">
      <c r="A292">
        <v>7.9505146564330937</v>
      </c>
      <c r="B292">
        <v>1.5708</v>
      </c>
      <c r="C292">
        <v>-0.6089</v>
      </c>
      <c r="D292">
        <v>0.2581</v>
      </c>
    </row>
    <row r="293" spans="1:4" x14ac:dyDescent="0.3">
      <c r="A293">
        <v>7.977930224213897</v>
      </c>
      <c r="B293">
        <v>1.5708</v>
      </c>
      <c r="C293">
        <v>-0.61880000000000002</v>
      </c>
      <c r="D293">
        <v>0.2452</v>
      </c>
    </row>
    <row r="294" spans="1:4" x14ac:dyDescent="0.3">
      <c r="A294">
        <v>8.0053457919947011</v>
      </c>
      <c r="B294">
        <v>1.5708</v>
      </c>
      <c r="C294">
        <v>-0.62870000000000004</v>
      </c>
      <c r="D294">
        <v>0.23200000000000001</v>
      </c>
    </row>
    <row r="295" spans="1:4" x14ac:dyDescent="0.3">
      <c r="A295">
        <v>8.0327613597755043</v>
      </c>
      <c r="B295">
        <v>1.5708</v>
      </c>
      <c r="C295">
        <v>-0.63870000000000005</v>
      </c>
      <c r="D295">
        <v>0.21859999999999999</v>
      </c>
    </row>
    <row r="296" spans="1:4" x14ac:dyDescent="0.3">
      <c r="A296">
        <v>8.0601769275563093</v>
      </c>
      <c r="B296">
        <v>1.5708</v>
      </c>
      <c r="C296">
        <v>-0.64870000000000005</v>
      </c>
      <c r="D296">
        <v>0.2049</v>
      </c>
    </row>
    <row r="297" spans="1:4" x14ac:dyDescent="0.3">
      <c r="A297">
        <v>8.0875924953371126</v>
      </c>
      <c r="B297">
        <v>1.5708</v>
      </c>
      <c r="C297">
        <v>-0.65880000000000005</v>
      </c>
      <c r="D297">
        <v>0.191</v>
      </c>
    </row>
    <row r="298" spans="1:4" x14ac:dyDescent="0.3">
      <c r="A298">
        <v>8.1150080631179176</v>
      </c>
      <c r="B298">
        <v>1.5708</v>
      </c>
      <c r="C298">
        <v>-0.66890000000000005</v>
      </c>
      <c r="D298">
        <v>0.1767</v>
      </c>
    </row>
    <row r="299" spans="1:4" x14ac:dyDescent="0.3">
      <c r="A299">
        <v>8.1424236308987208</v>
      </c>
      <c r="B299">
        <v>1.5708</v>
      </c>
      <c r="C299">
        <v>-0.67900000000000005</v>
      </c>
      <c r="D299">
        <v>0.16220000000000001</v>
      </c>
    </row>
    <row r="300" spans="1:4" x14ac:dyDescent="0.3">
      <c r="A300">
        <v>8.169839198679524</v>
      </c>
      <c r="B300">
        <v>1.5708</v>
      </c>
      <c r="C300">
        <v>-0.68930000000000002</v>
      </c>
      <c r="D300">
        <v>0.14749999999999999</v>
      </c>
    </row>
    <row r="301" spans="1:4" x14ac:dyDescent="0.3">
      <c r="A301">
        <v>8.1972547664603272</v>
      </c>
      <c r="B301">
        <v>1.5708</v>
      </c>
      <c r="C301">
        <v>-0.69950000000000001</v>
      </c>
      <c r="D301">
        <v>0.13239999999999999</v>
      </c>
    </row>
    <row r="302" spans="1:4" x14ac:dyDescent="0.3">
      <c r="A302">
        <v>8.2246703342411323</v>
      </c>
      <c r="B302">
        <v>1.5708</v>
      </c>
      <c r="C302">
        <v>-0.7097</v>
      </c>
      <c r="D302">
        <v>0.1171</v>
      </c>
    </row>
    <row r="303" spans="1:4" x14ac:dyDescent="0.3">
      <c r="A303">
        <v>8.2520859020219355</v>
      </c>
      <c r="B303">
        <v>1.5708</v>
      </c>
      <c r="C303">
        <v>-0.72</v>
      </c>
      <c r="D303">
        <v>0.1016</v>
      </c>
    </row>
    <row r="304" spans="1:4" x14ac:dyDescent="0.3">
      <c r="A304">
        <v>8.2795014698027387</v>
      </c>
      <c r="B304">
        <v>1.5708</v>
      </c>
      <c r="C304">
        <v>-0.73019999999999996</v>
      </c>
      <c r="D304">
        <v>8.5800000000000001E-2</v>
      </c>
    </row>
    <row r="305" spans="1:4" x14ac:dyDescent="0.3">
      <c r="A305">
        <v>8.3069170375835419</v>
      </c>
      <c r="B305">
        <v>1.5708</v>
      </c>
      <c r="C305">
        <v>-0.74050000000000005</v>
      </c>
      <c r="D305">
        <v>6.9699999999999998E-2</v>
      </c>
    </row>
    <row r="306" spans="1:4" x14ac:dyDescent="0.3">
      <c r="A306">
        <v>8.3343326053643452</v>
      </c>
      <c r="B306">
        <v>1.5708</v>
      </c>
      <c r="C306">
        <v>-0.75070000000000003</v>
      </c>
      <c r="D306">
        <v>5.3499999999999999E-2</v>
      </c>
    </row>
    <row r="307" spans="1:4" x14ac:dyDescent="0.3">
      <c r="A307">
        <v>8.361748173145152</v>
      </c>
      <c r="B307">
        <v>1.5708</v>
      </c>
      <c r="C307">
        <v>-0.76100000000000001</v>
      </c>
      <c r="D307">
        <v>3.6900000000000002E-2</v>
      </c>
    </row>
    <row r="308" spans="1:4" x14ac:dyDescent="0.3">
      <c r="A308">
        <v>8.3891637409259552</v>
      </c>
      <c r="B308">
        <v>1.5708</v>
      </c>
      <c r="C308">
        <v>-0.7712</v>
      </c>
      <c r="D308">
        <v>2.01E-2</v>
      </c>
    </row>
    <row r="309" spans="1:4" x14ac:dyDescent="0.3">
      <c r="A309">
        <v>8.4165793087067584</v>
      </c>
      <c r="B309">
        <v>1.5708</v>
      </c>
      <c r="C309">
        <v>-0.78139999999999998</v>
      </c>
      <c r="D309">
        <v>3.2000000000000002E-3</v>
      </c>
    </row>
    <row r="310" spans="1:4" x14ac:dyDescent="0.3">
      <c r="A310">
        <v>8.4439948764875616</v>
      </c>
      <c r="B310">
        <v>1.5708</v>
      </c>
      <c r="C310">
        <v>-0.79159999999999997</v>
      </c>
      <c r="D310">
        <v>-1.41E-2</v>
      </c>
    </row>
    <row r="311" spans="1:4" x14ac:dyDescent="0.3">
      <c r="A311">
        <v>8.4714104442683649</v>
      </c>
      <c r="B311">
        <v>1.5708</v>
      </c>
      <c r="C311">
        <v>-0.80159999999999998</v>
      </c>
      <c r="D311">
        <v>-3.15E-2</v>
      </c>
    </row>
    <row r="312" spans="1:4" x14ac:dyDescent="0.3">
      <c r="A312">
        <v>8.4988260120491699</v>
      </c>
      <c r="B312">
        <v>1.5708</v>
      </c>
      <c r="C312">
        <v>-0.81159999999999999</v>
      </c>
      <c r="D312">
        <v>-4.9099999999999998E-2</v>
      </c>
    </row>
    <row r="313" spans="1:4" x14ac:dyDescent="0.3">
      <c r="A313">
        <v>8.5262415798299731</v>
      </c>
      <c r="B313">
        <v>1.5708</v>
      </c>
      <c r="C313">
        <v>-0.8216</v>
      </c>
      <c r="D313">
        <v>-6.7000000000000004E-2</v>
      </c>
    </row>
    <row r="314" spans="1:4" x14ac:dyDescent="0.3">
      <c r="A314">
        <v>8.5536571476107763</v>
      </c>
      <c r="B314">
        <v>1.5708</v>
      </c>
      <c r="C314">
        <v>-0.83140000000000003</v>
      </c>
      <c r="D314">
        <v>-8.5099999999999995E-2</v>
      </c>
    </row>
    <row r="315" spans="1:4" x14ac:dyDescent="0.3">
      <c r="A315">
        <v>8.5810727153915796</v>
      </c>
      <c r="B315">
        <v>1.5708</v>
      </c>
      <c r="C315">
        <v>-0.84109999999999996</v>
      </c>
      <c r="D315">
        <v>-0.1032</v>
      </c>
    </row>
    <row r="316" spans="1:4" x14ac:dyDescent="0.3">
      <c r="A316">
        <v>8.6084882831723846</v>
      </c>
      <c r="B316">
        <v>1.5708</v>
      </c>
      <c r="C316">
        <v>-0.85070000000000001</v>
      </c>
      <c r="D316">
        <v>-0.1216</v>
      </c>
    </row>
    <row r="317" spans="1:4" x14ac:dyDescent="0.3">
      <c r="A317">
        <v>8.6359038509531878</v>
      </c>
      <c r="B317">
        <v>1.5708</v>
      </c>
      <c r="C317">
        <v>-0.86009999999999998</v>
      </c>
      <c r="D317">
        <v>-0.14019999999999999</v>
      </c>
    </row>
    <row r="318" spans="1:4" x14ac:dyDescent="0.3">
      <c r="A318">
        <v>8.6633194187339928</v>
      </c>
      <c r="B318">
        <v>1.5708</v>
      </c>
      <c r="C318">
        <v>-0.86939999999999995</v>
      </c>
      <c r="D318">
        <v>-0.1588</v>
      </c>
    </row>
    <row r="319" spans="1:4" x14ac:dyDescent="0.3">
      <c r="A319">
        <v>8.690734986514796</v>
      </c>
      <c r="B319">
        <v>1.5708</v>
      </c>
      <c r="C319">
        <v>-0.87849999999999995</v>
      </c>
      <c r="D319">
        <v>-0.17760000000000001</v>
      </c>
    </row>
    <row r="320" spans="1:4" x14ac:dyDescent="0.3">
      <c r="A320">
        <v>8.7181505542955993</v>
      </c>
      <c r="B320">
        <v>1.5708</v>
      </c>
      <c r="C320">
        <v>-0.88749999999999996</v>
      </c>
      <c r="D320">
        <v>-0.19650000000000001</v>
      </c>
    </row>
    <row r="321" spans="1:4" x14ac:dyDescent="0.3">
      <c r="A321">
        <v>8.7455661220764043</v>
      </c>
      <c r="B321">
        <v>1.5708</v>
      </c>
      <c r="C321">
        <v>-0.89610000000000001</v>
      </c>
      <c r="D321">
        <v>-0.2155</v>
      </c>
    </row>
    <row r="322" spans="1:4" x14ac:dyDescent="0.3">
      <c r="A322">
        <v>8.7729816898572057</v>
      </c>
      <c r="B322">
        <v>1.5708</v>
      </c>
      <c r="C322">
        <v>-0.90449999999999997</v>
      </c>
      <c r="D322">
        <v>-0.2346</v>
      </c>
    </row>
    <row r="323" spans="1:4" x14ac:dyDescent="0.3">
      <c r="A323">
        <v>8.8003972576380107</v>
      </c>
      <c r="B323">
        <v>1.5708</v>
      </c>
      <c r="C323">
        <v>-0.91269999999999996</v>
      </c>
      <c r="D323">
        <v>-0.25369999999999998</v>
      </c>
    </row>
    <row r="324" spans="1:4" x14ac:dyDescent="0.3">
      <c r="A324">
        <v>8.827812825418814</v>
      </c>
      <c r="B324">
        <v>1.5708</v>
      </c>
      <c r="C324">
        <v>-0.92059999999999997</v>
      </c>
      <c r="D324">
        <v>-0.27279999999999999</v>
      </c>
    </row>
    <row r="325" spans="1:4" x14ac:dyDescent="0.3">
      <c r="A325">
        <v>8.855228393199619</v>
      </c>
      <c r="B325">
        <v>1.5708</v>
      </c>
      <c r="C325">
        <v>-0.92830000000000001</v>
      </c>
      <c r="D325">
        <v>-0.29199999999999998</v>
      </c>
    </row>
    <row r="326" spans="1:4" x14ac:dyDescent="0.3">
      <c r="A326">
        <v>8.8826439609804222</v>
      </c>
      <c r="B326">
        <v>1.5708</v>
      </c>
      <c r="C326">
        <v>-0.93540000000000001</v>
      </c>
      <c r="D326">
        <v>-0.31119999999999998</v>
      </c>
    </row>
    <row r="327" spans="1:4" x14ac:dyDescent="0.3">
      <c r="A327">
        <v>8.9100595287612254</v>
      </c>
      <c r="B327">
        <v>1.5708</v>
      </c>
      <c r="C327">
        <v>-0.94230000000000003</v>
      </c>
      <c r="D327">
        <v>-0.33040000000000003</v>
      </c>
    </row>
    <row r="328" spans="1:4" x14ac:dyDescent="0.3">
      <c r="A328">
        <v>8.9374750965420287</v>
      </c>
      <c r="B328">
        <v>1.5708</v>
      </c>
      <c r="C328">
        <v>-0.94889999999999997</v>
      </c>
      <c r="D328">
        <v>-0.34949999999999998</v>
      </c>
    </row>
    <row r="329" spans="1:4" x14ac:dyDescent="0.3">
      <c r="A329">
        <v>8.9648906643228337</v>
      </c>
      <c r="B329">
        <v>1.5708</v>
      </c>
      <c r="C329">
        <v>-0.95499999999999996</v>
      </c>
      <c r="D329">
        <v>-0.36849999999999999</v>
      </c>
    </row>
    <row r="330" spans="1:4" x14ac:dyDescent="0.3">
      <c r="A330">
        <v>8.9923062321036369</v>
      </c>
      <c r="B330">
        <v>1.5708</v>
      </c>
      <c r="C330">
        <v>-0.9607</v>
      </c>
      <c r="D330">
        <v>-0.38750000000000001</v>
      </c>
    </row>
    <row r="331" spans="1:4" x14ac:dyDescent="0.3">
      <c r="A331">
        <v>9.0197217998844401</v>
      </c>
      <c r="B331">
        <v>1.5708</v>
      </c>
      <c r="C331">
        <v>-0.96589999999999998</v>
      </c>
      <c r="D331">
        <v>-0.40629999999999999</v>
      </c>
    </row>
    <row r="332" spans="1:4" x14ac:dyDescent="0.3">
      <c r="A332">
        <v>9.0471373676652433</v>
      </c>
      <c r="B332">
        <v>1.5708</v>
      </c>
      <c r="C332">
        <v>-0.97070000000000001</v>
      </c>
      <c r="D332">
        <v>-0.42499999999999999</v>
      </c>
    </row>
    <row r="333" spans="1:4" x14ac:dyDescent="0.3">
      <c r="A333">
        <v>9.0745529354460484</v>
      </c>
      <c r="B333">
        <v>1.5708</v>
      </c>
      <c r="C333">
        <v>-0.97489999999999999</v>
      </c>
      <c r="D333">
        <v>-0.44340000000000002</v>
      </c>
    </row>
    <row r="334" spans="1:4" x14ac:dyDescent="0.3">
      <c r="A334">
        <v>9.1019685032268534</v>
      </c>
      <c r="B334">
        <v>1.5708</v>
      </c>
      <c r="C334">
        <v>-0.97860000000000003</v>
      </c>
      <c r="D334">
        <v>-0.4617</v>
      </c>
    </row>
    <row r="335" spans="1:4" x14ac:dyDescent="0.3">
      <c r="A335">
        <v>9.1293840710076548</v>
      </c>
      <c r="B335">
        <v>1.5708</v>
      </c>
      <c r="C335">
        <v>-0.98170000000000002</v>
      </c>
      <c r="D335">
        <v>-0.4798</v>
      </c>
    </row>
    <row r="336" spans="1:4" x14ac:dyDescent="0.3">
      <c r="A336">
        <v>9.1567996387884598</v>
      </c>
      <c r="B336">
        <v>1.5708</v>
      </c>
      <c r="C336">
        <v>-0.98419999999999996</v>
      </c>
      <c r="D336">
        <v>-0.4975</v>
      </c>
    </row>
    <row r="337" spans="1:4" x14ac:dyDescent="0.3">
      <c r="A337">
        <v>9.184215206569263</v>
      </c>
      <c r="B337">
        <v>1.5708</v>
      </c>
      <c r="C337">
        <v>-0.98619999999999997</v>
      </c>
      <c r="D337">
        <v>-0.51500000000000001</v>
      </c>
    </row>
    <row r="338" spans="1:4" x14ac:dyDescent="0.3">
      <c r="A338">
        <v>9.2116307743500681</v>
      </c>
      <c r="B338">
        <v>1.5708</v>
      </c>
      <c r="C338">
        <v>-0.98750000000000004</v>
      </c>
      <c r="D338">
        <v>-0.53210000000000002</v>
      </c>
    </row>
    <row r="339" spans="1:4" x14ac:dyDescent="0.3">
      <c r="A339">
        <v>9.2390463421308713</v>
      </c>
      <c r="B339">
        <v>1.5708</v>
      </c>
      <c r="C339">
        <v>-0.98809999999999998</v>
      </c>
      <c r="D339">
        <v>-0.54890000000000005</v>
      </c>
    </row>
    <row r="340" spans="1:4" x14ac:dyDescent="0.3">
      <c r="A340">
        <v>9.2664619099116745</v>
      </c>
      <c r="B340">
        <v>1.5708</v>
      </c>
      <c r="C340">
        <v>-0.98799999999999999</v>
      </c>
      <c r="D340">
        <v>-0.56540000000000001</v>
      </c>
    </row>
    <row r="341" spans="1:4" x14ac:dyDescent="0.3">
      <c r="A341">
        <v>9.2938774776924777</v>
      </c>
      <c r="B341">
        <v>1.5708</v>
      </c>
      <c r="C341">
        <v>-0.98719999999999997</v>
      </c>
      <c r="D341">
        <v>-0.58140000000000003</v>
      </c>
    </row>
    <row r="342" spans="1:4" x14ac:dyDescent="0.3">
      <c r="A342">
        <v>9.3212930454732827</v>
      </c>
      <c r="B342">
        <v>1.5708</v>
      </c>
      <c r="C342">
        <v>-0.98570000000000002</v>
      </c>
      <c r="D342">
        <v>-0.59699999999999998</v>
      </c>
    </row>
    <row r="343" spans="1:4" x14ac:dyDescent="0.3">
      <c r="A343">
        <v>9.348708613254086</v>
      </c>
      <c r="B343">
        <v>1.5708</v>
      </c>
      <c r="C343">
        <v>-0.98329999999999995</v>
      </c>
      <c r="D343">
        <v>-0.61209999999999998</v>
      </c>
    </row>
    <row r="344" spans="1:4" x14ac:dyDescent="0.3">
      <c r="A344">
        <v>9.3761241810348892</v>
      </c>
      <c r="B344">
        <v>1.5708</v>
      </c>
      <c r="C344">
        <v>-0.98040000000000005</v>
      </c>
      <c r="D344">
        <v>-0.62670000000000003</v>
      </c>
    </row>
    <row r="345" spans="1:4" x14ac:dyDescent="0.3">
      <c r="A345">
        <v>9.4035397488156942</v>
      </c>
      <c r="B345">
        <v>1.5708</v>
      </c>
      <c r="C345">
        <v>-0.97640000000000005</v>
      </c>
      <c r="D345">
        <v>-0.64080000000000004</v>
      </c>
    </row>
    <row r="346" spans="1:4" x14ac:dyDescent="0.3">
      <c r="A346">
        <v>9.4309553165964974</v>
      </c>
      <c r="B346">
        <v>1.5708</v>
      </c>
      <c r="C346">
        <v>-0.9718</v>
      </c>
      <c r="D346">
        <v>-0.65429999999999999</v>
      </c>
    </row>
    <row r="347" spans="1:4" x14ac:dyDescent="0.3">
      <c r="A347">
        <v>9.4583708843773024</v>
      </c>
      <c r="B347">
        <v>1.5708</v>
      </c>
      <c r="C347">
        <v>-0.96630000000000005</v>
      </c>
      <c r="D347">
        <v>-0.66739999999999999</v>
      </c>
    </row>
    <row r="348" spans="1:4" x14ac:dyDescent="0.3">
      <c r="A348">
        <v>9.4857864521581057</v>
      </c>
      <c r="B348">
        <v>1.5708</v>
      </c>
      <c r="C348">
        <v>-0.95989999999999998</v>
      </c>
      <c r="D348">
        <v>-0.67979999999999996</v>
      </c>
    </row>
    <row r="349" spans="1:4" x14ac:dyDescent="0.3">
      <c r="A349">
        <v>9.5132020199389089</v>
      </c>
      <c r="B349">
        <v>1.5708</v>
      </c>
      <c r="C349">
        <v>-0.95279999999999998</v>
      </c>
      <c r="D349">
        <v>-0.69159999999999999</v>
      </c>
    </row>
    <row r="350" spans="1:4" x14ac:dyDescent="0.3">
      <c r="A350">
        <v>9.5406175877197121</v>
      </c>
      <c r="B350">
        <v>1.5708</v>
      </c>
      <c r="C350">
        <v>-0.94469999999999998</v>
      </c>
      <c r="D350">
        <v>-0.70279999999999998</v>
      </c>
    </row>
    <row r="351" spans="1:4" x14ac:dyDescent="0.3">
      <c r="A351">
        <v>9.5680331555005171</v>
      </c>
      <c r="B351">
        <v>1.5708</v>
      </c>
      <c r="C351">
        <v>-0.93579999999999997</v>
      </c>
      <c r="D351">
        <v>-0.71330000000000005</v>
      </c>
    </row>
    <row r="352" spans="1:4" x14ac:dyDescent="0.3">
      <c r="A352">
        <v>9.5954487232813204</v>
      </c>
      <c r="B352">
        <v>1.5708</v>
      </c>
      <c r="C352">
        <v>-0.92600000000000005</v>
      </c>
      <c r="D352">
        <v>-0.72309999999999997</v>
      </c>
    </row>
    <row r="353" spans="1:4" x14ac:dyDescent="0.3">
      <c r="A353">
        <v>9.6228642910621236</v>
      </c>
      <c r="B353">
        <v>1.5708</v>
      </c>
      <c r="C353">
        <v>-0.91539999999999999</v>
      </c>
      <c r="D353">
        <v>-0.73229999999999995</v>
      </c>
    </row>
    <row r="354" spans="1:4" x14ac:dyDescent="0.3">
      <c r="A354">
        <v>9.6502798588429268</v>
      </c>
      <c r="B354">
        <v>1.5708</v>
      </c>
      <c r="C354">
        <v>-0.90390000000000004</v>
      </c>
      <c r="D354">
        <v>-0.74070000000000003</v>
      </c>
    </row>
    <row r="355" spans="1:4" x14ac:dyDescent="0.3">
      <c r="A355">
        <v>9.6776954266237318</v>
      </c>
      <c r="B355">
        <v>1.5708</v>
      </c>
      <c r="C355">
        <v>-0.89149999999999996</v>
      </c>
      <c r="D355">
        <v>-0.74850000000000005</v>
      </c>
    </row>
    <row r="356" spans="1:4" x14ac:dyDescent="0.3">
      <c r="A356">
        <v>9.7051109944045368</v>
      </c>
      <c r="B356">
        <v>1.5708</v>
      </c>
      <c r="C356">
        <v>-0.87829999999999997</v>
      </c>
      <c r="D356">
        <v>-0.75549999999999995</v>
      </c>
    </row>
    <row r="357" spans="1:4" x14ac:dyDescent="0.3">
      <c r="A357">
        <v>9.7325265621853401</v>
      </c>
      <c r="B357">
        <v>1.5708</v>
      </c>
      <c r="C357">
        <v>-0.86429999999999996</v>
      </c>
      <c r="D357">
        <v>-0.76170000000000004</v>
      </c>
    </row>
    <row r="358" spans="1:4" x14ac:dyDescent="0.3">
      <c r="A358">
        <v>9.7599421299661433</v>
      </c>
      <c r="B358">
        <v>1.5708</v>
      </c>
      <c r="C358">
        <v>-0.84950000000000003</v>
      </c>
      <c r="D358">
        <v>-0.76729999999999998</v>
      </c>
    </row>
    <row r="359" spans="1:4" x14ac:dyDescent="0.3">
      <c r="A359">
        <v>9.7873576977469465</v>
      </c>
      <c r="B359">
        <v>1.5708</v>
      </c>
      <c r="C359">
        <v>-0.83379999999999999</v>
      </c>
      <c r="D359">
        <v>-0.77210000000000001</v>
      </c>
    </row>
    <row r="360" spans="1:4" x14ac:dyDescent="0.3">
      <c r="A360">
        <v>9.8147732655277515</v>
      </c>
      <c r="B360">
        <v>1.5708</v>
      </c>
      <c r="C360">
        <v>-0.81740000000000002</v>
      </c>
      <c r="D360">
        <v>-0.77629999999999999</v>
      </c>
    </row>
    <row r="361" spans="1:4" x14ac:dyDescent="0.3">
      <c r="A361">
        <v>9.842188833308553</v>
      </c>
      <c r="B361">
        <v>1.5708</v>
      </c>
      <c r="C361">
        <v>-0.80020000000000002</v>
      </c>
      <c r="D361">
        <v>-0.77969999999999995</v>
      </c>
    </row>
    <row r="362" spans="1:4" x14ac:dyDescent="0.3">
      <c r="A362">
        <v>9.869604401089358</v>
      </c>
      <c r="B362">
        <v>1.5708</v>
      </c>
      <c r="C362">
        <v>-0.78220000000000001</v>
      </c>
      <c r="D362">
        <v>-0.7823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75C5E-AFFE-4AF5-A05A-23D5E9AC5D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Arduino Raw Data Test 4</vt:lpstr>
      <vt:lpstr>Data Analysis</vt:lpstr>
      <vt:lpstr>PMK Data</vt:lpstr>
      <vt:lpstr>'Arduino Raw Data Test 4'!Arduino_Raw_Data_Test_4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Blake</dc:creator>
  <cp:lastModifiedBy>Mona Blake</cp:lastModifiedBy>
  <dcterms:created xsi:type="dcterms:W3CDTF">2026-06-22T21:38:09Z</dcterms:created>
  <dcterms:modified xsi:type="dcterms:W3CDTF">2026-06-23T00:35:54Z</dcterms:modified>
</cp:coreProperties>
</file>